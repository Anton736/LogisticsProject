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1000" windowHeight="4416"/>
  </bookViews>
  <sheets>
    <sheet name="рабочее окно" sheetId="1" r:id="rId1"/>
    <sheet name="справочники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Захаров-ПК</author>
  </authors>
  <commentList>
    <comment ref="H1" authorId="0">
      <text>
        <r>
          <rPr>
            <b/>
            <sz val="9"/>
            <rFont val="Tahoma"/>
            <charset val="204"/>
          </rPr>
          <t>выбрать из выпадающего списка
(в дальнейшем - выгрузка из 1С</t>
        </r>
      </text>
    </comment>
    <comment ref="I1" authorId="0">
      <text>
        <r>
          <rPr>
            <b/>
            <sz val="9"/>
            <rFont val="Tahoma"/>
            <charset val="204"/>
          </rPr>
          <t xml:space="preserve">на основе данных справочника
</t>
        </r>
      </text>
    </comment>
  </commentList>
</comments>
</file>

<file path=xl/sharedStrings.xml><?xml version="1.0" encoding="utf-8"?>
<sst xmlns="http://schemas.openxmlformats.org/spreadsheetml/2006/main" count="351" uniqueCount="242">
  <si>
    <t>№</t>
  </si>
  <si>
    <t>Код</t>
  </si>
  <si>
    <t>название тт</t>
  </si>
  <si>
    <t>адрес тт</t>
  </si>
  <si>
    <t>Координаты+</t>
  </si>
  <si>
    <t>текущий маршрут</t>
  </si>
  <si>
    <t>маршрут новый</t>
  </si>
  <si>
    <t>канал сбыта</t>
  </si>
  <si>
    <t>приоритет доставки</t>
  </si>
  <si>
    <t>временной промежуток на разгрузку</t>
  </si>
  <si>
    <t>окно доставки с</t>
  </si>
  <si>
    <t>окно доставки по</t>
  </si>
  <si>
    <t>время доставки текущее</t>
  </si>
  <si>
    <t>время доставки план</t>
  </si>
  <si>
    <t>сумма отгрузки текущая</t>
  </si>
  <si>
    <t>кол-во ед. продукции</t>
  </si>
  <si>
    <t>кол-во ящиков текущее</t>
  </si>
  <si>
    <t>сумма отгрузки план</t>
  </si>
  <si>
    <t>кол-во продукции план</t>
  </si>
  <si>
    <t>кол-во ящиков план</t>
  </si>
  <si>
    <t>Овчаренко маг Мясной</t>
  </si>
  <si>
    <t>,352900,Краснодарский край,,Армавир г,,Мира (киоск 521),63,,</t>
  </si>
  <si>
    <t>44.995016, 41.131611</t>
  </si>
  <si>
    <t>01 маршрут  Армавир</t>
  </si>
  <si>
    <t>розница</t>
  </si>
  <si>
    <t>Pd073020</t>
  </si>
  <si>
    <t>Овчаренко И.А Л.Новый</t>
  </si>
  <si>
    <t>,352925,Краснодарский край,,Армавир г,,Центральный рынок,,,</t>
  </si>
  <si>
    <t>44.995023, 41.131108</t>
  </si>
  <si>
    <t>Овчаренко маг Овощи</t>
  </si>
  <si>
    <t>,352900,Краснодарский край,,Армавир г,,Мира (киоск 157),63,,</t>
  </si>
  <si>
    <t>Pk000463</t>
  </si>
  <si>
    <t>ГБУЗ Инфекционная больница № 4</t>
  </si>
  <si>
    <t>,352919,Краснодарский край,,Армавир г,,Пугачева ул,7,,</t>
  </si>
  <si>
    <t>44.993563, 41.147296</t>
  </si>
  <si>
    <t>бюджет</t>
  </si>
  <si>
    <t>Pk002673</t>
  </si>
  <si>
    <t>Мельников А В</t>
  </si>
  <si>
    <t>,352942,Краснодарский край,,Армавир г,,Ленина ул,274/А,,</t>
  </si>
  <si>
    <t>44.985595, 41.153656</t>
  </si>
  <si>
    <t>Нагорнов маг "Продукты"</t>
  </si>
  <si>
    <t>,352470,Краснодарский край,Успенский р-н,,Дивный п,Урупская ул,1,3,</t>
  </si>
  <si>
    <t>44.936575, 41.166690</t>
  </si>
  <si>
    <t>Pf003541</t>
  </si>
  <si>
    <t>Арутюнян Д.З.</t>
  </si>
  <si>
    <t>,352942,Краснодарский край,,Армавир г,,Ленина ул,444,,</t>
  </si>
  <si>
    <t>44.976924, 41.168873</t>
  </si>
  <si>
    <t>Pc072985</t>
  </si>
  <si>
    <t>ООО "ТК Лето" МП23 АРМ Мира</t>
  </si>
  <si>
    <t>,352942,Краснодарский край,,Армавир г,,Мира ул,дом 74,корпус А,</t>
  </si>
  <si>
    <t>44.978327, 41.160474</t>
  </si>
  <si>
    <t>ТС Победа</t>
  </si>
  <si>
    <t>АО "Тандер", ММ "Вексель"(А)</t>
  </si>
  <si>
    <t>,352942,Краснодарский край,,Армавир г,,Ленина ул,306,,</t>
  </si>
  <si>
    <t>44.983408, 41.157492</t>
  </si>
  <si>
    <t>ТС Магнит ММ</t>
  </si>
  <si>
    <t>Pk2265</t>
  </si>
  <si>
    <t>АО "Тандер", ММ "Арсис"</t>
  </si>
  <si>
    <t>,352942,Краснодарский край,,Армавир г,,Ленина ул,268,,</t>
  </si>
  <si>
    <t>44.986015, 41.152793</t>
  </si>
  <si>
    <t>PkО74516</t>
  </si>
  <si>
    <t>АО "ПРОДТОРГ" Ч23198 Армавир Мира 61</t>
  </si>
  <si>
    <t>,352900,Краснодарский край,,г.Армавир,,Мира ул,дом 61, ,</t>
  </si>
  <si>
    <t>ТС Чижик</t>
  </si>
  <si>
    <t>Паршин С И маг 101</t>
  </si>
  <si>
    <t>,352919,Краснодарский край,,Армавир г,,Кочубея ул,18,,</t>
  </si>
  <si>
    <t>44.989158, 41.156135</t>
  </si>
  <si>
    <t>PkО74436</t>
  </si>
  <si>
    <t>Фрешмаркет Ленина 210</t>
  </si>
  <si>
    <t>,352919, Краснодарский край,, г Армавир, ул Ленина, д. 210</t>
  </si>
  <si>
    <t>44.989152, 41.147511</t>
  </si>
  <si>
    <t>Pk2390</t>
  </si>
  <si>
    <t>АО "Тандер", ММ "Викунья Демикатон"(А)</t>
  </si>
  <si>
    <t>,352919,Краснодарский край,,Армавир г,,Ленина ул,176,А,</t>
  </si>
  <si>
    <t>44.990395, 41.144906</t>
  </si>
  <si>
    <t>Р0000052</t>
  </si>
  <si>
    <t>Фрешмаркет Пугачева</t>
  </si>
  <si>
    <t>,352919,Краснодарский край,,Армавир г,,Пугачева ул,9,,</t>
  </si>
  <si>
    <t>44.992894, 41.146703</t>
  </si>
  <si>
    <t>Pd073128</t>
  </si>
  <si>
    <t>АО "Тандер", ММ "Кроноцкая"(А)</t>
  </si>
  <si>
    <t>,352909,Краснодарский край,,Армавир г,,Р.Люксембург ул,215,,</t>
  </si>
  <si>
    <t>44.998923, 41.139786</t>
  </si>
  <si>
    <t>Т0000032</t>
  </si>
  <si>
    <t>Кредо Розы Люксембург б/н Маршрут 1</t>
  </si>
  <si>
    <t>,352900,Краснодарский край,,Армавир г,,Р.Люксембург ул,дом 207, ,</t>
  </si>
  <si>
    <t>44.999236, 41.138681</t>
  </si>
  <si>
    <t>PkО73829</t>
  </si>
  <si>
    <t>Агроторг ООО № 26487</t>
  </si>
  <si>
    <t>,352900, Краснодарский край,, г.о. город Армавир, г Армавир, ул Розы Люксембург, д. 148,,</t>
  </si>
  <si>
    <t>45.000090, 41.134108</t>
  </si>
  <si>
    <t>ТС Пятёрочка</t>
  </si>
  <si>
    <t>Pr074920</t>
  </si>
  <si>
    <t>АО "ПРОДТОРГ" Ч23278 Армавир Урицкого 1А</t>
  </si>
  <si>
    <t>,352909,Краснодарский край,,Армавир г,,Урицкого ул,дом 1А, ,</t>
  </si>
  <si>
    <t>45.001658, 41.141367</t>
  </si>
  <si>
    <t>PkО73574</t>
  </si>
  <si>
    <t>АО "Тандер", ММ "Альмагор"</t>
  </si>
  <si>
    <t>,352909, Краснодарский край,, г.о. город Армавир, г Армавир, ул Мира, д. 50,,</t>
  </si>
  <si>
    <t>44.988833, 41.140271</t>
  </si>
  <si>
    <t>Pi000208</t>
  </si>
  <si>
    <t>АО "Тандер", ММ "Раскопка"</t>
  </si>
  <si>
    <t>,352909,Краснодарский край,,Армавир г,,Урицкого ул,83,,</t>
  </si>
  <si>
    <t>44.992333, 41.135653</t>
  </si>
  <si>
    <t>PkО74201</t>
  </si>
  <si>
    <t>ООО "Атлас" №6986</t>
  </si>
  <si>
    <t>,352919, Краснодарский край,, г.о. город Армавир, г Армавир, ул Мира, Дом 74,,</t>
  </si>
  <si>
    <t>44.978913, 41.159333</t>
  </si>
  <si>
    <t>ТС Красное и Белое</t>
  </si>
  <si>
    <t>Pr074793</t>
  </si>
  <si>
    <t>ООО "Шаг" № 15</t>
  </si>
  <si>
    <t xml:space="preserve"> Краснодарский край, г. Армавир, ул. Советской Армии, 56</t>
  </si>
  <si>
    <t>44.992569, 41.091564</t>
  </si>
  <si>
    <t>03 маршрут Армавир</t>
  </si>
  <si>
    <t>Pk2374</t>
  </si>
  <si>
    <t>Отдел № 7 г. Армавир, Пионерская</t>
  </si>
  <si>
    <t>,352942,Краснодарский край,,Армавир г,,Пионерская ул,56,,</t>
  </si>
  <si>
    <t>44.992964, 41.083066</t>
  </si>
  <si>
    <t>Pk002089</t>
  </si>
  <si>
    <t>Отдел № 4 г. Армавир  Новороссийская, 145 Доверие</t>
  </si>
  <si>
    <t>,352923,Краснодарский край,,Армавир г,,Новороссийская ул,145,,</t>
  </si>
  <si>
    <t>44.993257, 41.081341</t>
  </si>
  <si>
    <t>Pk087903</t>
  </si>
  <si>
    <t>ГБУЗ АПТД МЗ КК</t>
  </si>
  <si>
    <t>,352900,Краснодарский край,,Армавир г,,Ефремова ул,254,,</t>
  </si>
  <si>
    <t>44.983854, 41.082347</t>
  </si>
  <si>
    <t>Pk060452</t>
  </si>
  <si>
    <t>АО "Тандер" ГМ Армавир Воровского</t>
  </si>
  <si>
    <t>,352922,Краснодарский край,,Армавир г,,Воровского ул,69,,</t>
  </si>
  <si>
    <t>44.983300, 41.096747</t>
  </si>
  <si>
    <t>ТС Магнит ГМ</t>
  </si>
  <si>
    <t>PgO00300</t>
  </si>
  <si>
    <t>ИП СКОБОТКОВ А. А.  Чс садик</t>
  </si>
  <si>
    <t>,,краснодарский,,армавир,,чкалова,161,,</t>
  </si>
  <si>
    <t>44.993996, 41.095193</t>
  </si>
  <si>
    <t>АО "Тандер", ММ "Майк"(А)</t>
  </si>
  <si>
    <t>,352900,Краснодарский край,,Армавир г,,Советской Армии ул,36,1,</t>
  </si>
  <si>
    <t>44.993786, 41.089444</t>
  </si>
  <si>
    <t>Pk0011</t>
  </si>
  <si>
    <t>ООО "Шаг" № 3</t>
  </si>
  <si>
    <t>,352922,Краснодарский край,,Армавир г,,Новороссийская ул,68,,</t>
  </si>
  <si>
    <t>44.993378, 41.077847</t>
  </si>
  <si>
    <t>PkО73526</t>
  </si>
  <si>
    <t>АО "ПРОДТОРГ" Ч23133 Армавир Краснофлотск76</t>
  </si>
  <si>
    <t>,352923, Краснодарский край,, г Армавир, ,ул Краснофлотская, д. 76,,</t>
  </si>
  <si>
    <t>44.990401, 41.075386</t>
  </si>
  <si>
    <t>Pd073227</t>
  </si>
  <si>
    <t>Агроторг ООО № 20609</t>
  </si>
  <si>
    <t>,352900,Краснодарский край,,Армавир г,,Новороссийская ул,147А,,</t>
  </si>
  <si>
    <t>44.991587, 41.075412</t>
  </si>
  <si>
    <t>Pr074794</t>
  </si>
  <si>
    <t>ООО "Шаг" №18</t>
  </si>
  <si>
    <t>Краснодарский край., Армавир, ул. Новороссийская, 76</t>
  </si>
  <si>
    <t>44.991000, 41.071406</t>
  </si>
  <si>
    <t>Pk2388</t>
  </si>
  <si>
    <t>АО "Тандер", ММ "Иолан"(А)</t>
  </si>
  <si>
    <t>,352900,Краснодарский край,,Армавир г,,Новороссийская ул,100,,</t>
  </si>
  <si>
    <t>44.989930, 41.065809</t>
  </si>
  <si>
    <t>Pr000210</t>
  </si>
  <si>
    <t>Агроторг ООО № 15536</t>
  </si>
  <si>
    <t>,352924,Краснодарский край,,Армавир г,,Новороссийская ул,137,А,</t>
  </si>
  <si>
    <t>44.994481, 41.083470</t>
  </si>
  <si>
    <t>PkО74370</t>
  </si>
  <si>
    <t>ООО "Шаг" № 35</t>
  </si>
  <si>
    <t>,352922, Краснодарский край,, г.о. город Армавир, г Армавир, ул 30 лет Победы, д. 17,,</t>
  </si>
  <si>
    <t>44.997974, 41.082572</t>
  </si>
  <si>
    <t>Т0000017</t>
  </si>
  <si>
    <t>Фрешмаркет Советской Армии 18а</t>
  </si>
  <si>
    <t>,352922,Краснодарский край,,Армавир г,,Советской Армии ул,18а,,</t>
  </si>
  <si>
    <t>44.996884, 41.085186</t>
  </si>
  <si>
    <t>Pi073259</t>
  </si>
  <si>
    <t>АО "ПРОДТОРГ" Ч23043 Армавир Новороссийск127</t>
  </si>
  <si>
    <t>,352924,Краснодарский край,,Армавир г,,Новороссийская ул,127,,</t>
  </si>
  <si>
    <t>44.994978, 41.086704</t>
  </si>
  <si>
    <t>Pk2393</t>
  </si>
  <si>
    <t>АО "Тандер", ММ "Океанида"(А)</t>
  </si>
  <si>
    <t>,352922,Краснодарский край,,Армавир г,,Новороссийская ул,115,,</t>
  </si>
  <si>
    <t>44.996291, 41.088016</t>
  </si>
  <si>
    <t>Pk0016</t>
  </si>
  <si>
    <t>ООО "Шаг" № 14</t>
  </si>
  <si>
    <t>,352919,Краснодарский край,,Армавир г,,Ленина ул,210,,</t>
  </si>
  <si>
    <t>Т0000023</t>
  </si>
  <si>
    <t>Фрешмаркет Кропоткина</t>
  </si>
  <si>
    <t>,352913,Краснодарский край,,Армавир г,,Кропоткина ул,56,,</t>
  </si>
  <si>
    <t>44.997604, 41.094331</t>
  </si>
  <si>
    <t>Pf000092</t>
  </si>
  <si>
    <t>ООО "Шаг" №27</t>
  </si>
  <si>
    <t>,352900,Краснодарский край,,Армавир г,,Шмидта ул,107,,</t>
  </si>
  <si>
    <t>44.996444, 41.092543</t>
  </si>
  <si>
    <t>PkО74194</t>
  </si>
  <si>
    <t>ООО "Атлас" №6735</t>
  </si>
  <si>
    <t>,352922, Краснодарский край,, г.о. город Армавир, г Армавир, ул Шмидта, д. 125,,</t>
  </si>
  <si>
    <t>44.994953, 41.090001</t>
  </si>
  <si>
    <t>PkО74191</t>
  </si>
  <si>
    <t>ООО "Атлас" №6601</t>
  </si>
  <si>
    <t>Pb072994</t>
  </si>
  <si>
    <t>АО "Тандер", ММ "Кальвиль"</t>
  </si>
  <si>
    <t>,352932,Краснодарский край,,Армавир г,,Советской Армии ул,128,,</t>
  </si>
  <si>
    <t>44.988374, 41.099658</t>
  </si>
  <si>
    <t>АО "Тандер", ММ "Орленок"(А)</t>
  </si>
  <si>
    <t>,352900,Краснодарский край,,Армавир г,,Ефремова ул,123,,</t>
  </si>
  <si>
    <t>44.990242, 41.101383</t>
  </si>
  <si>
    <t>Т0000034</t>
  </si>
  <si>
    <t>Кредо Сенной б/н Маршрут 2</t>
  </si>
  <si>
    <t>,352900,Краснодарский край,,Армавир г,,Ефремова ул,123/1,,</t>
  </si>
  <si>
    <t>улица Ефремова, 123</t>
  </si>
  <si>
    <t>Pf003307</t>
  </si>
  <si>
    <t>Агроторг ООО № 21231</t>
  </si>
  <si>
    <t>,352932,Краснодарский край,,Армавир г,,Ефремова ул,230,,</t>
  </si>
  <si>
    <t>44.990095, 41.098670</t>
  </si>
  <si>
    <t>Pk001375</t>
  </si>
  <si>
    <t>Отдел № 6 г. Армавир Новороссийская 163 ДИПИ</t>
  </si>
  <si>
    <t>,352930,Краснодарский край,,Армавир г,,Новороссийская ул,163,,</t>
  </si>
  <si>
    <t>44.988004, 41.065414</t>
  </si>
  <si>
    <t>05 маршрут Армавир</t>
  </si>
  <si>
    <t>Pk001374</t>
  </si>
  <si>
    <t>Отдел № 2 г. Армавир ул.Азовская,34 ДИПИ</t>
  </si>
  <si>
    <t>,352900,Краснодарский край,,Армавир г,,Азовская ул,34,,</t>
  </si>
  <si>
    <t>44.986666, 41.066816</t>
  </si>
  <si>
    <t>Pk002590</t>
  </si>
  <si>
    <t>Арзуманян А.Р маг Радуга</t>
  </si>
  <si>
    <t>,352930,Краснодарский край,,Армавир г,,Новороссийская ул,171,1,</t>
  </si>
  <si>
    <t>44.987023, 41.061875</t>
  </si>
  <si>
    <t>Pi073207</t>
  </si>
  <si>
    <t>ООО "Шаг" № 37</t>
  </si>
  <si>
    <t>,352942,Краснодарский край,,Армавир г,,Каспарова ул/Малиновая ул,,,</t>
  </si>
  <si>
    <t>44.984498, 41.064929</t>
  </si>
  <si>
    <t>Итог</t>
  </si>
  <si>
    <t>Канал сбыта</t>
  </si>
  <si>
    <t>временной промежуток разгрузки</t>
  </si>
  <si>
    <t>средняя цена за единицу продукции</t>
  </si>
  <si>
    <t>кол-во ед. в ящике</t>
  </si>
  <si>
    <t>ТС Перекрёсток</t>
  </si>
  <si>
    <t>ТС Доброцены</t>
  </si>
  <si>
    <t>ТС Агрокомплекс</t>
  </si>
  <si>
    <t>ТС Лента</t>
  </si>
  <si>
    <t>Ставка водителя</t>
  </si>
  <si>
    <t>3000 руб.</t>
  </si>
  <si>
    <t>стоимость 1 км</t>
  </si>
  <si>
    <t>20 руб.</t>
  </si>
  <si>
    <t xml:space="preserve">стоимость 1 час </t>
  </si>
  <si>
    <t>150 руб.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</si>
</sst>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-* #\.##0.00_-;\-* #\.##0.00_-;_-* &quot;-&quot;??_-;_-@_-"/>
    <numFmt numFmtId="177" formatCode="_-* #\.##0.00\ &quot;₽&quot;_-;\-* #\.##0.00\ &quot;₽&quot;_-;_-* \-??\ &quot;₽&quot;_-;_-@_-"/>
    <numFmt numFmtId="178" formatCode="_-* #\.##0_-;\-* #\.##0_-;_-* &quot;-&quot;_-;_-@_-"/>
    <numFmt numFmtId="179" formatCode="_-* #\.##0\ &quot;₽&quot;_-;\-* #\.##0\ &quot;₽&quot;_-;_-* \-\ &quot;₽&quot;_-;_-@_-"/>
    <numFmt numFmtId="180" formatCode="#\ ##0.00\ &quot;₽&quot;"/>
    <numFmt numFmtId="181" formatCode="h:mm;@"/>
    <numFmt numFmtId="182" formatCode="[$-F400]h:mm:ss\ AM/PM"/>
    <numFmt numFmtId="183" formatCode="#\ ##0\ &quot;₽&quot;"/>
  </numFmts>
  <fonts count="24">
    <font>
      <sz val="11"/>
      <color theme="1"/>
      <name val="Calibri"/>
      <charset val="134"/>
      <scheme val="minor"/>
    </font>
    <font>
      <sz val="8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20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6" applyNumberFormat="0" applyAlignment="0" applyProtection="0">
      <alignment vertical="center"/>
    </xf>
    <xf numFmtId="0" fontId="13" fillId="4" borderId="7" applyNumberFormat="0" applyAlignment="0" applyProtection="0">
      <alignment vertical="center"/>
    </xf>
    <xf numFmtId="0" fontId="14" fillId="4" borderId="6" applyNumberFormat="0" applyAlignment="0" applyProtection="0">
      <alignment vertical="center"/>
    </xf>
    <xf numFmtId="0" fontId="15" fillId="5" borderId="8" applyNumberFormat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34">
    <xf numFmtId="0" fontId="0" fillId="0" borderId="0" xfId="0"/>
    <xf numFmtId="0" fontId="0" fillId="0" borderId="0" xfId="0" applyAlignment="1">
      <alignment wrapText="1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180" fontId="0" fillId="0" borderId="0" xfId="0" applyNumberFormat="1"/>
    <xf numFmtId="2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top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/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left" vertical="top" wrapText="1"/>
    </xf>
    <xf numFmtId="181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 wrapText="1"/>
    </xf>
    <xf numFmtId="182" fontId="0" fillId="0" borderId="0" xfId="0" applyNumberFormat="1" applyAlignment="1">
      <alignment horizontal="center" vertical="center" wrapText="1"/>
    </xf>
    <xf numFmtId="183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  <xf numFmtId="181" fontId="2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81" fontId="3" fillId="0" borderId="0" xfId="0" applyNumberFormat="1" applyFont="1" applyAlignment="1">
      <alignment horizontal="center" vertical="center"/>
    </xf>
    <xf numFmtId="181" fontId="3" fillId="0" borderId="0" xfId="0" applyNumberFormat="1" applyFont="1" applyAlignment="1">
      <alignment horizontal="center" vertical="center" wrapText="1"/>
    </xf>
    <xf numFmtId="18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</cellXfs>
  <cellStyles count="49">
    <cellStyle name="Обычный" xfId="0" builtinId="0"/>
    <cellStyle name="Запятая" xfId="1" builtinId="3"/>
    <cellStyle name="Денежный" xfId="2" builtinId="4"/>
    <cellStyle name="Процент" xfId="3" builtinId="5"/>
    <cellStyle name="Запятая [0]" xfId="4" builtinId="6"/>
    <cellStyle name="Денежный [0]" xfId="5" builtinId="7"/>
    <cellStyle name="Гиперссылка" xfId="6" builtinId="8"/>
    <cellStyle name="Открывавшаяся гиперссылка" xfId="7" builtinId="9"/>
    <cellStyle name="Примечание" xfId="8" builtinId="10"/>
    <cellStyle name="Предупреждающий текст" xfId="9" builtinId="11"/>
    <cellStyle name="Заголовок" xfId="10" builtinId="15"/>
    <cellStyle name="Пояснительный текст" xfId="11" builtinId="53"/>
    <cellStyle name="Заголовок 1" xfId="12" builtinId="16"/>
    <cellStyle name="Заголовок 2" xfId="13" builtinId="17"/>
    <cellStyle name="Заголовок 3" xfId="14" builtinId="18"/>
    <cellStyle name="Заголовок 4" xfId="15" builtinId="19"/>
    <cellStyle name="Ввод" xfId="16" builtinId="20"/>
    <cellStyle name="Вывод" xfId="17" builtinId="21"/>
    <cellStyle name="Вычисление" xfId="18" builtinId="22"/>
    <cellStyle name="Проверить ячейку" xfId="19" builtinId="23"/>
    <cellStyle name="Связанная ячейка" xfId="20" builtinId="24"/>
    <cellStyle name="Итого" xfId="21" builtinId="25"/>
    <cellStyle name="Хороший" xfId="22" builtinId="26"/>
    <cellStyle name="Плохой" xfId="23" builtinId="27"/>
    <cellStyle name="Нейтральный" xfId="24" builtinId="28"/>
    <cellStyle name="Акцент1" xfId="25" builtinId="29"/>
    <cellStyle name="20% — Акцент1" xfId="26" builtinId="30"/>
    <cellStyle name="40% — Акцент1" xfId="27" builtinId="31"/>
    <cellStyle name="60% — Акцент1" xfId="28" builtinId="32"/>
    <cellStyle name="Акцент2" xfId="29" builtinId="33"/>
    <cellStyle name="20% — Акцент2" xfId="30" builtinId="34"/>
    <cellStyle name="40% — Акцент2" xfId="31" builtinId="35"/>
    <cellStyle name="60% — Акцент2" xfId="32" builtinId="36"/>
    <cellStyle name="Акцент3" xfId="33" builtinId="37"/>
    <cellStyle name="20% — Акцент3" xfId="34" builtinId="38"/>
    <cellStyle name="40% — Акцент3" xfId="35" builtinId="39"/>
    <cellStyle name="60% — Акцент3" xfId="36" builtinId="40"/>
    <cellStyle name="Акцент4" xfId="37" builtinId="41"/>
    <cellStyle name="20% — Акцент4" xfId="38" builtinId="42"/>
    <cellStyle name="40% — Акцент4" xfId="39" builtinId="43"/>
    <cellStyle name="60% — Акцент4" xfId="40" builtinId="44"/>
    <cellStyle name="Акцент5" xfId="41" builtinId="45"/>
    <cellStyle name="20% — Акцент5" xfId="42" builtinId="46"/>
    <cellStyle name="40% — Акцент5" xfId="43" builtinId="47"/>
    <cellStyle name="60% — Акцент5" xfId="44" builtinId="48"/>
    <cellStyle name="Акцент6" xfId="45" builtinId="49"/>
    <cellStyle name="20% — Акцент6" xfId="46" builtinId="50"/>
    <cellStyle name="40% — Акцент6" xfId="47" builtinId="51"/>
    <cellStyle name="60% — Акцент6" xfId="48" builtinId="52"/>
  </cellStyles>
  <dxfs count="25"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b val="0"/>
        <i val="0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  <alignment wrapText="1"/>
    </dxf>
    <dxf>
      <font>
        <name val="Calibri"/>
        <scheme val="none"/>
        <family val="2"/>
        <strike val="0"/>
        <u val="none"/>
        <sz val="8"/>
        <color theme="1"/>
      </font>
      <alignment wrapText="1"/>
    </dxf>
    <dxf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3" formatCode="#\ ##0\ &quot;₽&quot;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3" formatCode="#\ ##0\ &quot;₽&quot;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 wrapText="1"/>
    </dxf>
    <dxf>
      <numFmt numFmtId="20" formatCode="h:mm"/>
      <alignment horizontal="center" vertical="center"/>
    </dxf>
    <dxf>
      <numFmt numFmtId="20" formatCode="h:mm"/>
      <alignment horizontal="center" vertical="center"/>
    </dxf>
    <dxf>
      <alignment horizontal="center" vertical="center"/>
    </dxf>
    <dxf>
      <numFmt numFmtId="180" formatCode="#\ ##0.00\ &quot;₽&quot;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Таблица2" displayName="Таблица2" ref="A1:T54" totalsRowCount="1">
  <autoFilter xmlns:etc="http://www.wps.cn/officeDocument/2017/etCustomData" ref="A1:T53" etc:filterBottomFollowUsedRange="0"/>
  <sortState ref="A1:T53">
    <sortCondition ref="C1:C152"/>
  </sortState>
  <tableColumns count="20">
    <tableColumn id="1" name="№" dataDxfId="0" totalsRowLabel="Итог">
      <calculatedColumnFormula>SUBTOTAL(3,C$1:C1)</calculatedColumnFormula>
    </tableColumn>
    <tableColumn id="4" name="Код" dataDxfId="1"/>
    <tableColumn id="2" name="название тт" dataDxfId="2"/>
    <tableColumn id="3" name="адрес тт" dataDxfId="3"/>
    <tableColumn id="20" name="Координаты+" dataDxfId="4"/>
    <tableColumn id="19" name="текущий маршрут" dataDxfId="5"/>
    <tableColumn id="18" name="маршрут новый" dataDxfId="6"/>
    <tableColumn id="5" name="канал сбыта" dataDxfId="7" totalsRowFunction="count"/>
    <tableColumn id="6" name="приоритет доставки" dataDxfId="8">
      <calculatedColumnFormula>VLOOKUP(Таблица2[[#This Row],[канал сбыта]],справочники!A:D,4,0)</calculatedColumnFormula>
    </tableColumn>
    <tableColumn id="15" name="временной промежуток на разгрузку" dataDxfId="9" totalsRowFunction="average">
      <calculatedColumnFormula>VLOOKUP(Таблица2[[#This Row],[канал сбыта]],справочники!A:E,5,0)</calculatedColumnFormula>
    </tableColumn>
    <tableColumn id="7" name="окно доставки с" dataDxfId="10">
      <calculatedColumnFormula>VLOOKUP(Таблица2[[#This Row],[канал сбыта]],справочники!A:E,2,0)</calculatedColumnFormula>
    </tableColumn>
    <tableColumn id="8" name="окно доставки по" dataDxfId="11">
      <calculatedColumnFormula>VLOOKUP(Таблица2[[#This Row],[канал сбыта]],справочники!A:E,3,0)</calculatedColumnFormula>
    </tableColumn>
    <tableColumn id="9" name="время доставки текущее" dataDxfId="12"/>
    <tableColumn id="10" name="время доставки план" dataDxfId="13"/>
    <tableColumn id="11" name="сумма отгрузки текущая" dataDxfId="14"/>
    <tableColumn id="16" name="кол-во ед. продукции" dataDxfId="15">
      <calculatedColumnFormula>IFERROR(Таблица2[[#This Row],[сумма отгрузки текущая]]/40,"")</calculatedColumnFormula>
    </tableColumn>
    <tableColumn id="12" name="кол-во ящиков текущее" dataDxfId="16">
      <calculatedColumnFormula>IFERROR(ROUNDUP(Таблица2[[#This Row],[кол-во ед. продукции]]/20,0),"")</calculatedColumnFormula>
    </tableColumn>
    <tableColumn id="13" name="сумма отгрузки план" dataDxfId="17" totalsRowFunction="sum">
      <calculatedColumnFormula>O2*IF(ABS((N2-M2)*1440)&gt;180,IF((N2-M2)*1440&gt;0,0.85,1.1),IF(ABS((N2-M2)*1440)&gt;120,IF((N2-M2)*1440&gt;0,0.93,1.07),IF(ABS((N2-M2)*1440)&gt;60,IF((N2-M2)*1440&gt;0,0.97,1.03),1)))</calculatedColumnFormula>
    </tableColumn>
    <tableColumn id="17" name="кол-во продукции план" dataDxfId="18">
      <calculatedColumnFormula>IFERROR(Таблица2[[#This Row],[сумма отгрузки план]]/40,"")</calculatedColumnFormula>
    </tableColumn>
    <tableColumn id="14" name="кол-во ящиков план" dataDxfId="19" totalsRowFunction="sum">
      <calculatedColumnFormula>IFERROR(ROUNDUP(Таблица2[[#This Row],[кол-во продукции план]]/20,0),"")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E13" totalsRowShown="0">
  <autoFilter xmlns:etc="http://www.wps.cn/officeDocument/2017/etCustomData" ref="A1:E13" etc:filterBottomFollowUsedRange="0"/>
  <tableColumns count="5">
    <tableColumn id="1" name="Канал сбыта"/>
    <tableColumn id="2" name="окно доставки с" dataDxfId="20"/>
    <tableColumn id="3" name="окно доставки по" dataDxfId="21"/>
    <tableColumn id="4" name="приоритет доставки" dataDxfId="22"/>
    <tableColumn id="5" name="временной промежуток разгрузки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G1:H2" totalsRowShown="0">
  <autoFilter xmlns:etc="http://www.wps.cn/officeDocument/2017/etCustomData" ref="G1:H2" etc:filterBottomFollowUsedRange="0"/>
  <tableColumns count="2">
    <tableColumn id="1" name="средняя цена за единицу продукции" dataDxfId="23"/>
    <tableColumn id="2" name="кол-во ед. в ящике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54"/>
  <sheetViews>
    <sheetView tabSelected="1" zoomScale="68" zoomScaleNormal="68" workbookViewId="0">
      <selection activeCell="K6" sqref="K6:L53"/>
    </sheetView>
  </sheetViews>
  <sheetFormatPr defaultColWidth="9.11111111111111" defaultRowHeight="10.2"/>
  <cols>
    <col min="1" max="1" width="5.33333333333333" style="10" customWidth="1"/>
    <col min="2" max="2" width="9.88888888888889" style="10" customWidth="1"/>
    <col min="3" max="3" width="32.8888888888889" style="10" customWidth="1"/>
    <col min="4" max="5" width="38" style="10" customWidth="1"/>
    <col min="6" max="6" width="20.6666666666667" style="10" customWidth="1"/>
    <col min="7" max="7" width="19.4444444444444" style="10" customWidth="1"/>
    <col min="8" max="8" width="15.5555555555556" style="10" customWidth="1"/>
    <col min="9" max="9" width="11.3333333333333" style="10" customWidth="1"/>
    <col min="10" max="10" width="15.3333333333333" style="10" customWidth="1"/>
    <col min="11" max="13" width="13.3333333333333" style="11" customWidth="1"/>
    <col min="14" max="14" width="15.8888888888889" style="11" customWidth="1"/>
    <col min="15" max="20" width="13.3333333333333" style="11" customWidth="1"/>
    <col min="21" max="16384" width="9.11111111111111" style="10"/>
  </cols>
  <sheetData>
    <row r="1" s="9" customFormat="1" ht="43.2" spans="1:20">
      <c r="A1" s="9" t="s">
        <v>0</v>
      </c>
      <c r="B1" s="9" t="s">
        <v>1</v>
      </c>
      <c r="C1" s="12" t="s">
        <v>2</v>
      </c>
      <c r="D1" s="12" t="s">
        <v>3</v>
      </c>
      <c r="E1" s="12" t="s">
        <v>4</v>
      </c>
      <c r="F1" s="13" t="s">
        <v>5</v>
      </c>
      <c r="G1" s="13" t="s">
        <v>6</v>
      </c>
      <c r="H1" s="12" t="s">
        <v>7</v>
      </c>
      <c r="I1" s="13" t="s">
        <v>8</v>
      </c>
      <c r="J1" s="13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0" t="s">
        <v>18</v>
      </c>
      <c r="T1" s="20" t="s">
        <v>19</v>
      </c>
    </row>
    <row r="2" ht="28.8" spans="1:20">
      <c r="A2">
        <f>SUBTOTAL(3,C$1:C1)</f>
        <v>1</v>
      </c>
      <c r="B2" s="3">
        <v>741</v>
      </c>
      <c r="C2" s="7" t="s">
        <v>20</v>
      </c>
      <c r="D2" s="14" t="s">
        <v>21</v>
      </c>
      <c r="E2" s="14" t="s">
        <v>22</v>
      </c>
      <c r="F2" t="s">
        <v>23</v>
      </c>
      <c r="H2" t="s">
        <v>24</v>
      </c>
      <c r="I2" s="3">
        <f>VLOOKUP(Таблица2[[#This Row],[канал сбыта]],справочники!A:D,4,0)</f>
        <v>3</v>
      </c>
      <c r="J2" s="21">
        <f>VLOOKUP(Таблица2[[#This Row],[канал сбыта]],справочники!A:E,5,0)</f>
        <v>0.00347222222222222</v>
      </c>
      <c r="K2" s="22">
        <f>VLOOKUP(Таблица2[[#This Row],[канал сбыта]],справочники!A:E,2,0)</f>
        <v>0.0833333333333333</v>
      </c>
      <c r="L2" s="22">
        <f>VLOOKUP(Таблица2[[#This Row],[канал сбыта]],справочники!A:E,3,0)</f>
        <v>0.958333333333333</v>
      </c>
      <c r="M2" s="22">
        <v>0.25</v>
      </c>
      <c r="N2" s="23"/>
      <c r="O2" s="24">
        <v>1106</v>
      </c>
      <c r="P2" s="25">
        <f>IFERROR(Таблица2[[#This Row],[сумма отгрузки текущая]]/40,"")</f>
        <v>27.65</v>
      </c>
      <c r="Q2" s="33">
        <f>IFERROR(ROUNDUP(Таблица2[[#This Row],[кол-во ед. продукции]]/20,0),"")</f>
        <v>2</v>
      </c>
      <c r="R2" s="24">
        <f>O2*IF(ABS((N2-M2)*1440)&gt;180,IF((N2-M2)*1440&gt;0,0.85,1.1),IF(ABS((N2-M2)*1440)&gt;120,IF((N2-M2)*1440&gt;0,0.93,1.07),IF(ABS((N2-M2)*1440)&gt;60,IF((N2-M2)*1440&gt;0,0.97,1.03),1)))</f>
        <v>1216.6</v>
      </c>
      <c r="S2" s="25">
        <f>IFERROR(Таблица2[[#This Row],[сумма отгрузки план]]/40,"")</f>
        <v>30.415</v>
      </c>
      <c r="T2" s="15">
        <f>IFERROR(ROUNDUP(Таблица2[[#This Row],[кол-во продукции план]]/20,0),"")</f>
        <v>2</v>
      </c>
    </row>
    <row r="3" ht="28.8" spans="1:20">
      <c r="A3">
        <f>SUBTOTAL(3,C$1:C2)</f>
        <v>2</v>
      </c>
      <c r="B3" s="3" t="s">
        <v>25</v>
      </c>
      <c r="C3" s="7" t="s">
        <v>26</v>
      </c>
      <c r="D3" s="14" t="s">
        <v>27</v>
      </c>
      <c r="E3" s="15" t="s">
        <v>28</v>
      </c>
      <c r="F3" t="s">
        <v>23</v>
      </c>
      <c r="H3" t="s">
        <v>24</v>
      </c>
      <c r="I3" s="3">
        <f>VLOOKUP(Таблица2[[#This Row],[канал сбыта]],справочники!A:D,4,0)</f>
        <v>3</v>
      </c>
      <c r="J3" s="21">
        <f>VLOOKUP(Таблица2[[#This Row],[канал сбыта]],справочники!A:E,5,0)</f>
        <v>0.00347222222222222</v>
      </c>
      <c r="K3" s="22">
        <f>VLOOKUP(Таблица2[[#This Row],[канал сбыта]],справочники!A:E,2,0)</f>
        <v>0.0833333333333333</v>
      </c>
      <c r="L3" s="22">
        <f>VLOOKUP(Таблица2[[#This Row],[канал сбыта]],справочники!A:E,3,0)</f>
        <v>0.958333333333333</v>
      </c>
      <c r="M3" s="22">
        <v>0.253472222222222</v>
      </c>
      <c r="N3" s="23"/>
      <c r="O3" s="24">
        <v>615</v>
      </c>
      <c r="P3" s="25">
        <f>IFERROR(Таблица2[[#This Row],[сумма отгрузки текущая]]/40,"")</f>
        <v>15.375</v>
      </c>
      <c r="Q3" s="33">
        <f>IFERROR(ROUNDUP(Таблица2[[#This Row],[кол-во ед. продукции]]/20,0),"")</f>
        <v>1</v>
      </c>
      <c r="R3" s="24">
        <f t="shared" ref="R3:R66" si="0">O3*IF(ABS((N3-M3)*1440)&gt;180,IF((N3-M3)*1440&gt;0,0.85,1.1),IF(ABS((N3-M3)*1440)&gt;120,IF((N3-M3)*1440&gt;0,0.93,1.07),IF(ABS((N3-M3)*1440)&gt;60,IF((N3-M3)*1440&gt;0,0.97,1.03),1)))</f>
        <v>676.5</v>
      </c>
      <c r="S3" s="25">
        <f>IFERROR(Таблица2[[#This Row],[сумма отгрузки план]]/40,"")</f>
        <v>16.9125</v>
      </c>
      <c r="T3" s="15">
        <f>IFERROR(ROUNDUP(Таблица2[[#This Row],[кол-во продукции план]]/20,0),"")</f>
        <v>1</v>
      </c>
    </row>
    <row r="4" ht="28.8" spans="1:20">
      <c r="A4">
        <f>SUBTOTAL(3,C$1:C3)</f>
        <v>3</v>
      </c>
      <c r="B4" s="3">
        <v>742</v>
      </c>
      <c r="C4" s="7" t="s">
        <v>29</v>
      </c>
      <c r="D4" s="14" t="s">
        <v>30</v>
      </c>
      <c r="E4" s="14" t="s">
        <v>22</v>
      </c>
      <c r="F4" t="s">
        <v>23</v>
      </c>
      <c r="H4" t="s">
        <v>24</v>
      </c>
      <c r="I4" s="3">
        <f>VLOOKUP(Таблица2[[#This Row],[канал сбыта]],справочники!A:D,4,0)</f>
        <v>3</v>
      </c>
      <c r="J4" s="21">
        <f>VLOOKUP(Таблица2[[#This Row],[канал сбыта]],справочники!A:E,5,0)</f>
        <v>0.00347222222222222</v>
      </c>
      <c r="K4" s="22">
        <f>VLOOKUP(Таблица2[[#This Row],[канал сбыта]],справочники!A:E,2,0)</f>
        <v>0.0833333333333333</v>
      </c>
      <c r="L4" s="22">
        <f>VLOOKUP(Таблица2[[#This Row],[канал сбыта]],справочники!A:E,3,0)</f>
        <v>0.958333333333333</v>
      </c>
      <c r="M4" s="22">
        <v>0.256944444444444</v>
      </c>
      <c r="N4" s="23"/>
      <c r="O4" s="24">
        <v>1897</v>
      </c>
      <c r="P4" s="25">
        <f>IFERROR(Таблица2[[#This Row],[сумма отгрузки текущая]]/40,"")</f>
        <v>47.425</v>
      </c>
      <c r="Q4" s="33">
        <f>IFERROR(ROUNDUP(Таблица2[[#This Row],[кол-во ед. продукции]]/20,0),"")</f>
        <v>3</v>
      </c>
      <c r="R4" s="24">
        <f t="shared" si="0"/>
        <v>2086.7</v>
      </c>
      <c r="S4" s="25">
        <f>IFERROR(Таблица2[[#This Row],[сумма отгрузки план]]/40,"")</f>
        <v>52.1675</v>
      </c>
      <c r="T4" s="15">
        <f>IFERROR(ROUNDUP(Таблица2[[#This Row],[кол-во продукции план]]/20,0),"")</f>
        <v>3</v>
      </c>
    </row>
    <row r="5" ht="28.8" spans="1:20">
      <c r="A5">
        <f>SUBTOTAL(3,C$1:C4)</f>
        <v>4</v>
      </c>
      <c r="B5" s="3" t="s">
        <v>31</v>
      </c>
      <c r="C5" s="7" t="s">
        <v>32</v>
      </c>
      <c r="D5" s="14" t="s">
        <v>33</v>
      </c>
      <c r="E5" s="15" t="s">
        <v>34</v>
      </c>
      <c r="F5" t="s">
        <v>23</v>
      </c>
      <c r="H5" t="s">
        <v>35</v>
      </c>
      <c r="I5" s="3">
        <f>VLOOKUP(Таблица2[[#This Row],[канал сбыта]],справочники!A:D,4,0)</f>
        <v>1</v>
      </c>
      <c r="J5" s="21">
        <f>VLOOKUP(Таблица2[[#This Row],[канал сбыта]],справочники!A:E,5,0)</f>
        <v>0.00486111111111111</v>
      </c>
      <c r="K5" s="22">
        <f>VLOOKUP(Таблица2[[#This Row],[канал сбыта]],справочники!A:E,2,0)</f>
        <v>0.0833333333333333</v>
      </c>
      <c r="L5" s="22">
        <f>VLOOKUP(Таблица2[[#This Row],[канал сбыта]],справочники!A:E,3,0)</f>
        <v>0.958333333333333</v>
      </c>
      <c r="M5" s="22">
        <v>0.270833333333333</v>
      </c>
      <c r="N5" s="23"/>
      <c r="O5" s="24">
        <v>2884</v>
      </c>
      <c r="P5" s="25">
        <f>IFERROR(Таблица2[[#This Row],[сумма отгрузки текущая]]/40,"")</f>
        <v>72.1</v>
      </c>
      <c r="Q5" s="33">
        <f>IFERROR(ROUNDUP(Таблица2[[#This Row],[кол-во ед. продукции]]/20,0),"")</f>
        <v>4</v>
      </c>
      <c r="R5" s="24">
        <f t="shared" si="0"/>
        <v>3172.4</v>
      </c>
      <c r="S5" s="25">
        <f>IFERROR(Таблица2[[#This Row],[сумма отгрузки план]]/40,"")</f>
        <v>79.31</v>
      </c>
      <c r="T5" s="15">
        <f>IFERROR(ROUNDUP(Таблица2[[#This Row],[кол-во продукции план]]/20,0),"")</f>
        <v>4</v>
      </c>
    </row>
    <row r="6" ht="28.8" spans="1:20">
      <c r="A6">
        <f>SUBTOTAL(3,C$1:C5)</f>
        <v>5</v>
      </c>
      <c r="B6" s="3" t="s">
        <v>36</v>
      </c>
      <c r="C6" s="7" t="s">
        <v>37</v>
      </c>
      <c r="D6" s="14" t="s">
        <v>38</v>
      </c>
      <c r="E6" s="15" t="s">
        <v>39</v>
      </c>
      <c r="F6" t="s">
        <v>23</v>
      </c>
      <c r="H6" t="s">
        <v>24</v>
      </c>
      <c r="I6" s="3">
        <f>VLOOKUP(Таблица2[[#This Row],[канал сбыта]],справочники!A:D,4,0)</f>
        <v>3</v>
      </c>
      <c r="J6" s="21">
        <f>VLOOKUP(Таблица2[[#This Row],[канал сбыта]],справочники!A:E,5,0)</f>
        <v>0.00347222222222222</v>
      </c>
      <c r="K6" s="22">
        <f>VLOOKUP(Таблица2[[#This Row],[канал сбыта]],справочники!A:E,2,0)</f>
        <v>0.0833333333333333</v>
      </c>
      <c r="L6" s="22">
        <f>VLOOKUP(Таблица2[[#This Row],[канал сбыта]],справочники!A:E,3,0)</f>
        <v>0.958333333333333</v>
      </c>
      <c r="M6" s="22">
        <v>0.284722222222222</v>
      </c>
      <c r="N6" s="23"/>
      <c r="O6" s="24">
        <v>1397</v>
      </c>
      <c r="P6" s="25">
        <f>IFERROR(Таблица2[[#This Row],[сумма отгрузки текущая]]/40,"")</f>
        <v>34.925</v>
      </c>
      <c r="Q6" s="33">
        <f>IFERROR(ROUNDUP(Таблица2[[#This Row],[кол-во ед. продукции]]/20,0),"")</f>
        <v>2</v>
      </c>
      <c r="R6" s="24">
        <f t="shared" si="0"/>
        <v>1536.7</v>
      </c>
      <c r="S6" s="25">
        <f>IFERROR(Таблица2[[#This Row],[сумма отгрузки план]]/40,"")</f>
        <v>38.4175</v>
      </c>
      <c r="T6" s="15">
        <f>IFERROR(ROUNDUP(Таблица2[[#This Row],[кол-во продукции план]]/20,0),"")</f>
        <v>2</v>
      </c>
    </row>
    <row r="7" ht="28.8" spans="1:20">
      <c r="A7">
        <f>SUBTOTAL(3,C$1:C6)</f>
        <v>6</v>
      </c>
      <c r="B7" s="3">
        <v>1025</v>
      </c>
      <c r="C7" s="7" t="s">
        <v>40</v>
      </c>
      <c r="D7" s="14" t="s">
        <v>41</v>
      </c>
      <c r="E7" s="15" t="s">
        <v>42</v>
      </c>
      <c r="F7" t="s">
        <v>23</v>
      </c>
      <c r="H7" t="s">
        <v>24</v>
      </c>
      <c r="I7" s="3">
        <f>VLOOKUP(Таблица2[[#This Row],[канал сбыта]],справочники!A:D,4,0)</f>
        <v>3</v>
      </c>
      <c r="J7" s="21">
        <f>VLOOKUP(Таблица2[[#This Row],[канал сбыта]],справочники!A:E,5,0)</f>
        <v>0.00347222222222222</v>
      </c>
      <c r="K7" s="22">
        <f>VLOOKUP(Таблица2[[#This Row],[канал сбыта]],справочники!A:E,2,0)</f>
        <v>0.0833333333333333</v>
      </c>
      <c r="L7" s="22">
        <f>VLOOKUP(Таблица2[[#This Row],[канал сбыта]],справочники!A:E,3,0)</f>
        <v>0.958333333333333</v>
      </c>
      <c r="M7" s="22">
        <v>0.291666666666667</v>
      </c>
      <c r="N7" s="23"/>
      <c r="O7" s="24">
        <v>580</v>
      </c>
      <c r="P7" s="25">
        <f>IFERROR(Таблица2[[#This Row],[сумма отгрузки текущая]]/40,"")</f>
        <v>14.5</v>
      </c>
      <c r="Q7" s="33">
        <f>IFERROR(ROUNDUP(Таблица2[[#This Row],[кол-во ед. продукции]]/20,0),"")</f>
        <v>1</v>
      </c>
      <c r="R7" s="24">
        <f t="shared" si="0"/>
        <v>638</v>
      </c>
      <c r="S7" s="25">
        <f>IFERROR(Таблица2[[#This Row],[сумма отгрузки план]]/40,"")</f>
        <v>15.95</v>
      </c>
      <c r="T7" s="15">
        <f>IFERROR(ROUNDUP(Таблица2[[#This Row],[кол-во продукции план]]/20,0),"")</f>
        <v>1</v>
      </c>
    </row>
    <row r="8" ht="28.8" spans="1:20">
      <c r="A8">
        <f>SUBTOTAL(3,C$1:C7)</f>
        <v>7</v>
      </c>
      <c r="B8" s="3" t="s">
        <v>43</v>
      </c>
      <c r="C8" s="7" t="s">
        <v>44</v>
      </c>
      <c r="D8" s="14" t="s">
        <v>45</v>
      </c>
      <c r="E8" s="15" t="s">
        <v>46</v>
      </c>
      <c r="F8" t="s">
        <v>23</v>
      </c>
      <c r="H8" t="s">
        <v>24</v>
      </c>
      <c r="I8" s="3">
        <f>VLOOKUP(Таблица2[[#This Row],[канал сбыта]],справочники!A:D,4,0)</f>
        <v>3</v>
      </c>
      <c r="J8" s="21">
        <f>VLOOKUP(Таблица2[[#This Row],[канал сбыта]],справочники!A:E,5,0)</f>
        <v>0.00347222222222222</v>
      </c>
      <c r="K8" s="22">
        <f>VLOOKUP(Таблица2[[#This Row],[канал сбыта]],справочники!A:E,2,0)</f>
        <v>0.0833333333333333</v>
      </c>
      <c r="L8" s="22">
        <f>VLOOKUP(Таблица2[[#This Row],[канал сбыта]],справочники!A:E,3,0)</f>
        <v>0.958333333333333</v>
      </c>
      <c r="M8" s="22">
        <v>0.305555555555556</v>
      </c>
      <c r="N8" s="23"/>
      <c r="O8" s="24">
        <v>530</v>
      </c>
      <c r="P8" s="25">
        <f>IFERROR(Таблица2[[#This Row],[сумма отгрузки текущая]]/40,"")</f>
        <v>13.25</v>
      </c>
      <c r="Q8" s="33">
        <f>IFERROR(ROUNDUP(Таблица2[[#This Row],[кол-во ед. продукции]]/20,0),"")</f>
        <v>1</v>
      </c>
      <c r="R8" s="24">
        <f t="shared" si="0"/>
        <v>583</v>
      </c>
      <c r="S8" s="25">
        <f>IFERROR(Таблица2[[#This Row],[сумма отгрузки план]]/40,"")</f>
        <v>14.575</v>
      </c>
      <c r="T8" s="15">
        <f>IFERROR(ROUNDUP(Таблица2[[#This Row],[кол-во продукции план]]/20,0),"")</f>
        <v>1</v>
      </c>
    </row>
    <row r="9" ht="28.8" spans="1:20">
      <c r="A9">
        <f>SUBTOTAL(3,C$1:C8)</f>
        <v>8</v>
      </c>
      <c r="B9" s="3" t="s">
        <v>47</v>
      </c>
      <c r="C9" s="7" t="s">
        <v>48</v>
      </c>
      <c r="D9" s="14" t="s">
        <v>49</v>
      </c>
      <c r="E9" s="15" t="s">
        <v>50</v>
      </c>
      <c r="F9" t="s">
        <v>23</v>
      </c>
      <c r="H9" t="s">
        <v>51</v>
      </c>
      <c r="I9" s="3">
        <f>VLOOKUP(Таблица2[[#This Row],[канал сбыта]],справочники!A:D,4,0)</f>
        <v>3</v>
      </c>
      <c r="J9" s="21">
        <f>VLOOKUP(Таблица2[[#This Row],[канал сбыта]],справочники!A:E,5,0)</f>
        <v>0.00486111111111111</v>
      </c>
      <c r="K9" s="22">
        <f>VLOOKUP(Таблица2[[#This Row],[канал сбыта]],справочники!A:E,2,0)</f>
        <v>0.0833333333333333</v>
      </c>
      <c r="L9" s="22">
        <f>VLOOKUP(Таблица2[[#This Row],[канал сбыта]],справочники!A:E,3,0)</f>
        <v>0.958333333333333</v>
      </c>
      <c r="M9" s="22">
        <v>0.3125</v>
      </c>
      <c r="N9" s="23"/>
      <c r="O9" s="24">
        <v>826.66</v>
      </c>
      <c r="P9" s="25">
        <f>IFERROR(Таблица2[[#This Row],[сумма отгрузки текущая]]/40,"")</f>
        <v>20.6665</v>
      </c>
      <c r="Q9" s="33">
        <f>IFERROR(ROUNDUP(Таблица2[[#This Row],[кол-во ед. продукции]]/20,0),"")</f>
        <v>2</v>
      </c>
      <c r="R9" s="24">
        <f t="shared" si="0"/>
        <v>909.326</v>
      </c>
      <c r="S9" s="25">
        <f>IFERROR(Таблица2[[#This Row],[сумма отгрузки план]]/40,"")</f>
        <v>22.73315</v>
      </c>
      <c r="T9" s="15">
        <f>IFERROR(ROUNDUP(Таблица2[[#This Row],[кол-во продукции план]]/20,0),"")</f>
        <v>2</v>
      </c>
    </row>
    <row r="10" ht="28.8" spans="1:20">
      <c r="A10">
        <f>SUBTOTAL(3,C$1:C9)</f>
        <v>9</v>
      </c>
      <c r="B10" s="3">
        <v>1468</v>
      </c>
      <c r="C10" s="7" t="s">
        <v>52</v>
      </c>
      <c r="D10" s="14" t="s">
        <v>53</v>
      </c>
      <c r="E10" s="15" t="s">
        <v>54</v>
      </c>
      <c r="F10" t="s">
        <v>23</v>
      </c>
      <c r="H10" t="s">
        <v>55</v>
      </c>
      <c r="I10" s="3">
        <f>VLOOKUP(Таблица2[[#This Row],[канал сбыта]],справочники!A:D,4,0)</f>
        <v>3</v>
      </c>
      <c r="J10" s="21">
        <f>VLOOKUP(Таблица2[[#This Row],[канал сбыта]],справочники!A:E,5,0)</f>
        <v>0.00486111111111111</v>
      </c>
      <c r="K10" s="22">
        <f>VLOOKUP(Таблица2[[#This Row],[канал сбыта]],справочники!A:E,2,0)</f>
        <v>0.0833333333333333</v>
      </c>
      <c r="L10" s="22">
        <f>VLOOKUP(Таблица2[[#This Row],[канал сбыта]],справочники!A:E,3,0)</f>
        <v>0.958333333333333</v>
      </c>
      <c r="M10" s="22">
        <v>0.326388888888889</v>
      </c>
      <c r="N10" s="23"/>
      <c r="O10" s="24">
        <v>7810</v>
      </c>
      <c r="P10" s="25">
        <f>IFERROR(Таблица2[[#This Row],[сумма отгрузки текущая]]/40,"")</f>
        <v>195.25</v>
      </c>
      <c r="Q10" s="33">
        <f>IFERROR(ROUNDUP(Таблица2[[#This Row],[кол-во ед. продукции]]/20,0),"")</f>
        <v>10</v>
      </c>
      <c r="R10" s="24">
        <f t="shared" si="0"/>
        <v>8591</v>
      </c>
      <c r="S10" s="25">
        <f>IFERROR(Таблица2[[#This Row],[сумма отгрузки план]]/40,"")</f>
        <v>214.775</v>
      </c>
      <c r="T10" s="15">
        <f>IFERROR(ROUNDUP(Таблица2[[#This Row],[кол-во продукции план]]/20,0),"")</f>
        <v>11</v>
      </c>
    </row>
    <row r="11" ht="28.8" spans="1:20">
      <c r="A11">
        <f>SUBTOTAL(3,C$1:C10)</f>
        <v>10</v>
      </c>
      <c r="B11" s="3" t="s">
        <v>56</v>
      </c>
      <c r="C11" s="7" t="s">
        <v>57</v>
      </c>
      <c r="D11" s="14" t="s">
        <v>58</v>
      </c>
      <c r="E11" s="15" t="s">
        <v>59</v>
      </c>
      <c r="F11" t="s">
        <v>23</v>
      </c>
      <c r="H11" t="s">
        <v>55</v>
      </c>
      <c r="I11" s="3">
        <f>VLOOKUP(Таблица2[[#This Row],[канал сбыта]],справочники!A:D,4,0)</f>
        <v>3</v>
      </c>
      <c r="J11" s="21">
        <f>VLOOKUP(Таблица2[[#This Row],[канал сбыта]],справочники!A:E,5,0)</f>
        <v>0.00486111111111111</v>
      </c>
      <c r="K11" s="22">
        <f>VLOOKUP(Таблица2[[#This Row],[канал сбыта]],справочники!A:E,2,0)</f>
        <v>0.0833333333333333</v>
      </c>
      <c r="L11" s="22">
        <f>VLOOKUP(Таблица2[[#This Row],[канал сбыта]],справочники!A:E,3,0)</f>
        <v>0.958333333333333</v>
      </c>
      <c r="M11" s="22">
        <v>0.340277777777778</v>
      </c>
      <c r="N11" s="23"/>
      <c r="O11" s="24">
        <v>4686</v>
      </c>
      <c r="P11" s="25">
        <f>IFERROR(Таблица2[[#This Row],[сумма отгрузки текущая]]/40,"")</f>
        <v>117.15</v>
      </c>
      <c r="Q11" s="33">
        <f>IFERROR(ROUNDUP(Таблица2[[#This Row],[кол-во ед. продукции]]/20,0),"")</f>
        <v>6</v>
      </c>
      <c r="R11" s="24">
        <f t="shared" si="0"/>
        <v>5154.6</v>
      </c>
      <c r="S11" s="25">
        <f>IFERROR(Таблица2[[#This Row],[сумма отгрузки план]]/40,"")</f>
        <v>128.865</v>
      </c>
      <c r="T11" s="15">
        <f>IFERROR(ROUNDUP(Таблица2[[#This Row],[кол-во продукции план]]/20,0),"")</f>
        <v>7</v>
      </c>
    </row>
    <row r="12" ht="28.8" spans="1:20">
      <c r="A12">
        <f>SUBTOTAL(3,C$1:C11)</f>
        <v>11</v>
      </c>
      <c r="B12" s="3" t="s">
        <v>60</v>
      </c>
      <c r="C12" s="7" t="s">
        <v>61</v>
      </c>
      <c r="D12" s="14" t="s">
        <v>62</v>
      </c>
      <c r="E12" s="15" t="s">
        <v>28</v>
      </c>
      <c r="F12" t="s">
        <v>23</v>
      </c>
      <c r="H12" t="s">
        <v>63</v>
      </c>
      <c r="I12" s="3">
        <f>VLOOKUP(Таблица2[[#This Row],[канал сбыта]],справочники!A:D,4,0)</f>
        <v>3</v>
      </c>
      <c r="J12" s="21">
        <f>VLOOKUP(Таблица2[[#This Row],[канал сбыта]],справочники!A:E,5,0)</f>
        <v>0.00694444444444444</v>
      </c>
      <c r="K12" s="22">
        <f>VLOOKUP(Таблица2[[#This Row],[канал сбыта]],справочники!A:E,2,0)</f>
        <v>0.0833333333333333</v>
      </c>
      <c r="L12" s="22">
        <f>VLOOKUP(Таблица2[[#This Row],[канал сбыта]],справочники!A:E,3,0)</f>
        <v>0.958333333333333</v>
      </c>
      <c r="M12" s="22">
        <v>0.354166666666667</v>
      </c>
      <c r="N12" s="23"/>
      <c r="O12" s="24">
        <v>8146</v>
      </c>
      <c r="P12" s="25">
        <f>IFERROR(Таблица2[[#This Row],[сумма отгрузки текущая]]/40,"")</f>
        <v>203.65</v>
      </c>
      <c r="Q12" s="33">
        <f>IFERROR(ROUNDUP(Таблица2[[#This Row],[кол-во ед. продукции]]/20,0),"")</f>
        <v>11</v>
      </c>
      <c r="R12" s="24">
        <f t="shared" si="0"/>
        <v>8960.6</v>
      </c>
      <c r="S12" s="25">
        <f>IFERROR(Таблица2[[#This Row],[сумма отгрузки план]]/40,"")</f>
        <v>224.015</v>
      </c>
      <c r="T12" s="15">
        <f>IFERROR(ROUNDUP(Таблица2[[#This Row],[кол-во продукции план]]/20,0),"")</f>
        <v>12</v>
      </c>
    </row>
    <row r="13" ht="28.8" spans="1:20">
      <c r="A13">
        <f>SUBTOTAL(3,C$1:C12)</f>
        <v>12</v>
      </c>
      <c r="B13" s="3">
        <v>1249</v>
      </c>
      <c r="C13" s="7" t="s">
        <v>64</v>
      </c>
      <c r="D13" s="14" t="s">
        <v>65</v>
      </c>
      <c r="E13" s="15" t="s">
        <v>66</v>
      </c>
      <c r="F13" t="s">
        <v>23</v>
      </c>
      <c r="H13" t="s">
        <v>24</v>
      </c>
      <c r="I13" s="3">
        <f>VLOOKUP(Таблица2[[#This Row],[канал сбыта]],справочники!A:D,4,0)</f>
        <v>3</v>
      </c>
      <c r="J13" s="21">
        <f>VLOOKUP(Таблица2[[#This Row],[канал сбыта]],справочники!A:E,5,0)</f>
        <v>0.00347222222222222</v>
      </c>
      <c r="K13" s="22">
        <f>VLOOKUP(Таблица2[[#This Row],[канал сбыта]],справочники!A:E,2,0)</f>
        <v>0.0833333333333333</v>
      </c>
      <c r="L13" s="22">
        <f>VLOOKUP(Таблица2[[#This Row],[канал сбыта]],справочники!A:E,3,0)</f>
        <v>0.958333333333333</v>
      </c>
      <c r="M13" s="22">
        <v>0.368055555555556</v>
      </c>
      <c r="N13" s="23"/>
      <c r="O13" s="24">
        <v>342</v>
      </c>
      <c r="P13" s="25">
        <f>IFERROR(Таблица2[[#This Row],[сумма отгрузки текущая]]/40,"")</f>
        <v>8.55</v>
      </c>
      <c r="Q13" s="33">
        <f>IFERROR(ROUNDUP(Таблица2[[#This Row],[кол-во ед. продукции]]/20,0),"")</f>
        <v>1</v>
      </c>
      <c r="R13" s="24">
        <f t="shared" si="0"/>
        <v>376.2</v>
      </c>
      <c r="S13" s="25">
        <f>IFERROR(Таблица2[[#This Row],[сумма отгрузки план]]/40,"")</f>
        <v>9.405</v>
      </c>
      <c r="T13" s="15">
        <f>IFERROR(ROUNDUP(Таблица2[[#This Row],[кол-во продукции план]]/20,0),"")</f>
        <v>1</v>
      </c>
    </row>
    <row r="14" ht="28.8" spans="1:20">
      <c r="A14">
        <f>SUBTOTAL(3,C$1:C13)</f>
        <v>13</v>
      </c>
      <c r="B14" s="3" t="s">
        <v>67</v>
      </c>
      <c r="C14" s="7" t="s">
        <v>68</v>
      </c>
      <c r="D14" s="14" t="s">
        <v>69</v>
      </c>
      <c r="E14" s="15" t="s">
        <v>70</v>
      </c>
      <c r="F14" t="s">
        <v>23</v>
      </c>
      <c r="H14" t="s">
        <v>24</v>
      </c>
      <c r="I14" s="3">
        <f>VLOOKUP(Таблица2[[#This Row],[канал сбыта]],справочники!A:D,4,0)</f>
        <v>3</v>
      </c>
      <c r="J14" s="21">
        <f>VLOOKUP(Таблица2[[#This Row],[канал сбыта]],справочники!A:E,5,0)</f>
        <v>0.00347222222222222</v>
      </c>
      <c r="K14" s="22">
        <f>VLOOKUP(Таблица2[[#This Row],[канал сбыта]],справочники!A:E,2,0)</f>
        <v>0.0833333333333333</v>
      </c>
      <c r="L14" s="22">
        <f>VLOOKUP(Таблица2[[#This Row],[канал сбыта]],справочники!A:E,3,0)</f>
        <v>0.958333333333333</v>
      </c>
      <c r="M14" s="22">
        <v>0.381944444444444</v>
      </c>
      <c r="N14" s="23"/>
      <c r="O14" s="24">
        <v>537</v>
      </c>
      <c r="P14" s="25">
        <f>IFERROR(Таблица2[[#This Row],[сумма отгрузки текущая]]/40,"")</f>
        <v>13.425</v>
      </c>
      <c r="Q14" s="33">
        <f>IFERROR(ROUNDUP(Таблица2[[#This Row],[кол-во ед. продукции]]/20,0),"")</f>
        <v>1</v>
      </c>
      <c r="R14" s="24">
        <f t="shared" si="0"/>
        <v>590.7</v>
      </c>
      <c r="S14" s="25">
        <f>IFERROR(Таблица2[[#This Row],[сумма отгрузки план]]/40,"")</f>
        <v>14.7675</v>
      </c>
      <c r="T14" s="15">
        <f>IFERROR(ROUNDUP(Таблица2[[#This Row],[кол-во продукции план]]/20,0),"")</f>
        <v>1</v>
      </c>
    </row>
    <row r="15" ht="28.8" spans="1:20">
      <c r="A15">
        <f>SUBTOTAL(3,C$1:C14)</f>
        <v>14</v>
      </c>
      <c r="B15" s="3" t="s">
        <v>71</v>
      </c>
      <c r="C15" s="7" t="s">
        <v>72</v>
      </c>
      <c r="D15" s="14" t="s">
        <v>73</v>
      </c>
      <c r="E15" s="15" t="s">
        <v>74</v>
      </c>
      <c r="F15" t="s">
        <v>23</v>
      </c>
      <c r="H15" t="s">
        <v>55</v>
      </c>
      <c r="I15" s="3">
        <f>VLOOKUP(Таблица2[[#This Row],[канал сбыта]],справочники!A:D,4,0)</f>
        <v>3</v>
      </c>
      <c r="J15" s="21">
        <f>VLOOKUP(Таблица2[[#This Row],[канал сбыта]],справочники!A:E,5,0)</f>
        <v>0.00486111111111111</v>
      </c>
      <c r="K15" s="22">
        <f>VLOOKUP(Таблица2[[#This Row],[канал сбыта]],справочники!A:E,2,0)</f>
        <v>0.0833333333333333</v>
      </c>
      <c r="L15" s="22">
        <f>VLOOKUP(Таблица2[[#This Row],[канал сбыта]],справочники!A:E,3,0)</f>
        <v>0.958333333333333</v>
      </c>
      <c r="M15" s="22">
        <v>0.392361111111111</v>
      </c>
      <c r="N15" s="23"/>
      <c r="O15" s="24">
        <v>7503.89</v>
      </c>
      <c r="P15" s="25">
        <f>IFERROR(Таблица2[[#This Row],[сумма отгрузки текущая]]/40,"")</f>
        <v>187.59725</v>
      </c>
      <c r="Q15" s="33">
        <f>IFERROR(ROUNDUP(Таблица2[[#This Row],[кол-во ед. продукции]]/20,0),"")</f>
        <v>10</v>
      </c>
      <c r="R15" s="24">
        <f t="shared" si="0"/>
        <v>8254.279</v>
      </c>
      <c r="S15" s="25">
        <f>IFERROR(Таблица2[[#This Row],[сумма отгрузки план]]/40,"")</f>
        <v>206.356975</v>
      </c>
      <c r="T15" s="15">
        <f>IFERROR(ROUNDUP(Таблица2[[#This Row],[кол-во продукции план]]/20,0),"")</f>
        <v>11</v>
      </c>
    </row>
    <row r="16" ht="28.8" spans="1:20">
      <c r="A16">
        <f>SUBTOTAL(3,C$1:C15)</f>
        <v>15</v>
      </c>
      <c r="B16" s="3" t="s">
        <v>75</v>
      </c>
      <c r="C16" s="7" t="s">
        <v>76</v>
      </c>
      <c r="D16" s="14" t="s">
        <v>77</v>
      </c>
      <c r="E16" s="15" t="s">
        <v>78</v>
      </c>
      <c r="F16" t="s">
        <v>23</v>
      </c>
      <c r="H16" t="s">
        <v>24</v>
      </c>
      <c r="I16" s="3">
        <f>VLOOKUP(Таблица2[[#This Row],[канал сбыта]],справочники!A:D,4,0)</f>
        <v>3</v>
      </c>
      <c r="J16" s="21">
        <f>VLOOKUP(Таблица2[[#This Row],[канал сбыта]],справочники!A:E,5,0)</f>
        <v>0.00347222222222222</v>
      </c>
      <c r="K16" s="22">
        <f>VLOOKUP(Таблица2[[#This Row],[канал сбыта]],справочники!A:E,2,0)</f>
        <v>0.0833333333333333</v>
      </c>
      <c r="L16" s="22">
        <f>VLOOKUP(Таблица2[[#This Row],[канал сбыта]],справочники!A:E,3,0)</f>
        <v>0.958333333333333</v>
      </c>
      <c r="M16" s="22">
        <v>0.402777777777778</v>
      </c>
      <c r="N16" s="23"/>
      <c r="O16" s="24">
        <v>698</v>
      </c>
      <c r="P16" s="25">
        <f>IFERROR(Таблица2[[#This Row],[сумма отгрузки текущая]]/40,"")</f>
        <v>17.45</v>
      </c>
      <c r="Q16" s="33">
        <f>IFERROR(ROUNDUP(Таблица2[[#This Row],[кол-во ед. продукции]]/20,0),"")</f>
        <v>1</v>
      </c>
      <c r="R16" s="24">
        <f t="shared" si="0"/>
        <v>767.8</v>
      </c>
      <c r="S16" s="25">
        <f>IFERROR(Таблица2[[#This Row],[сумма отгрузки план]]/40,"")</f>
        <v>19.195</v>
      </c>
      <c r="T16" s="15">
        <f>IFERROR(ROUNDUP(Таблица2[[#This Row],[кол-во продукции план]]/20,0),"")</f>
        <v>1</v>
      </c>
    </row>
    <row r="17" ht="28.8" spans="1:20">
      <c r="A17">
        <f>SUBTOTAL(3,C$1:C16)</f>
        <v>16</v>
      </c>
      <c r="B17" s="3" t="s">
        <v>79</v>
      </c>
      <c r="C17" s="7" t="s">
        <v>80</v>
      </c>
      <c r="D17" s="14" t="s">
        <v>81</v>
      </c>
      <c r="E17" s="15" t="s">
        <v>82</v>
      </c>
      <c r="F17" t="s">
        <v>23</v>
      </c>
      <c r="H17" t="s">
        <v>55</v>
      </c>
      <c r="I17" s="3">
        <f>VLOOKUP(Таблица2[[#This Row],[канал сбыта]],справочники!A:D,4,0)</f>
        <v>3</v>
      </c>
      <c r="J17" s="21">
        <f>VLOOKUP(Таблица2[[#This Row],[канал сбыта]],справочники!A:E,5,0)</f>
        <v>0.00486111111111111</v>
      </c>
      <c r="K17" s="22">
        <f>VLOOKUP(Таблица2[[#This Row],[канал сбыта]],справочники!A:E,2,0)</f>
        <v>0.0833333333333333</v>
      </c>
      <c r="L17" s="22">
        <f>VLOOKUP(Таблица2[[#This Row],[канал сбыта]],справочники!A:E,3,0)</f>
        <v>0.958333333333333</v>
      </c>
      <c r="M17" s="22">
        <v>0.416666666666667</v>
      </c>
      <c r="N17" s="23"/>
      <c r="O17" s="24">
        <v>7866.48</v>
      </c>
      <c r="P17" s="25">
        <f>IFERROR(Таблица2[[#This Row],[сумма отгрузки текущая]]/40,"")</f>
        <v>196.662</v>
      </c>
      <c r="Q17" s="33">
        <f>IFERROR(ROUNDUP(Таблица2[[#This Row],[кол-во ед. продукции]]/20,0),"")</f>
        <v>10</v>
      </c>
      <c r="R17" s="24">
        <f t="shared" si="0"/>
        <v>8653.128</v>
      </c>
      <c r="S17" s="25">
        <f>IFERROR(Таблица2[[#This Row],[сумма отгрузки план]]/40,"")</f>
        <v>216.3282</v>
      </c>
      <c r="T17" s="15">
        <f>IFERROR(ROUNDUP(Таблица2[[#This Row],[кол-во продукции план]]/20,0),"")</f>
        <v>11</v>
      </c>
    </row>
    <row r="18" ht="28.8" spans="1:20">
      <c r="A18">
        <f>SUBTOTAL(3,C$1:C17)</f>
        <v>17</v>
      </c>
      <c r="B18" s="3" t="s">
        <v>83</v>
      </c>
      <c r="C18" s="7" t="s">
        <v>84</v>
      </c>
      <c r="D18" s="14" t="s">
        <v>85</v>
      </c>
      <c r="E18" s="15" t="s">
        <v>86</v>
      </c>
      <c r="F18" t="s">
        <v>23</v>
      </c>
      <c r="H18" t="s">
        <v>24</v>
      </c>
      <c r="I18" s="3">
        <f>VLOOKUP(Таблица2[[#This Row],[канал сбыта]],справочники!A:D,4,0)</f>
        <v>3</v>
      </c>
      <c r="J18" s="21">
        <f>VLOOKUP(Таблица2[[#This Row],[канал сбыта]],справочники!A:E,5,0)</f>
        <v>0.00347222222222222</v>
      </c>
      <c r="K18" s="22">
        <f>VLOOKUP(Таблица2[[#This Row],[канал сбыта]],справочники!A:E,2,0)</f>
        <v>0.0833333333333333</v>
      </c>
      <c r="L18" s="22">
        <f>VLOOKUP(Таблица2[[#This Row],[канал сбыта]],справочники!A:E,3,0)</f>
        <v>0.958333333333333</v>
      </c>
      <c r="M18" s="22">
        <v>0.427083333333333</v>
      </c>
      <c r="N18" s="23"/>
      <c r="O18" s="24">
        <v>1951</v>
      </c>
      <c r="P18" s="25">
        <f>IFERROR(Таблица2[[#This Row],[сумма отгрузки текущая]]/40,"")</f>
        <v>48.775</v>
      </c>
      <c r="Q18" s="33">
        <f>IFERROR(ROUNDUP(Таблица2[[#This Row],[кол-во ед. продукции]]/20,0),"")</f>
        <v>3</v>
      </c>
      <c r="R18" s="24">
        <f t="shared" si="0"/>
        <v>2146.1</v>
      </c>
      <c r="S18" s="25">
        <f>IFERROR(Таблица2[[#This Row],[сумма отгрузки план]]/40,"")</f>
        <v>53.6525</v>
      </c>
      <c r="T18" s="15">
        <f>IFERROR(ROUNDUP(Таблица2[[#This Row],[кол-во продукции план]]/20,0),"")</f>
        <v>3</v>
      </c>
    </row>
    <row r="19" ht="43.2" spans="1:20">
      <c r="A19">
        <f>SUBTOTAL(3,C$1:C18)</f>
        <v>18</v>
      </c>
      <c r="B19" s="3" t="s">
        <v>87</v>
      </c>
      <c r="C19" s="7" t="s">
        <v>88</v>
      </c>
      <c r="D19" s="14" t="s">
        <v>89</v>
      </c>
      <c r="E19" s="15" t="s">
        <v>90</v>
      </c>
      <c r="F19" t="s">
        <v>23</v>
      </c>
      <c r="H19" t="s">
        <v>91</v>
      </c>
      <c r="I19" s="3">
        <f>VLOOKUP(Таблица2[[#This Row],[канал сбыта]],справочники!A:D,4,0)</f>
        <v>3</v>
      </c>
      <c r="J19" s="21">
        <f>VLOOKUP(Таблица2[[#This Row],[канал сбыта]],справочники!A:E,5,0)</f>
        <v>0.00486111111111111</v>
      </c>
      <c r="K19" s="22">
        <f>VLOOKUP(Таблица2[[#This Row],[канал сбыта]],справочники!A:E,2,0)</f>
        <v>0.0833333333333333</v>
      </c>
      <c r="L19" s="22">
        <f>VLOOKUP(Таблица2[[#This Row],[канал сбыта]],справочники!A:E,3,0)</f>
        <v>0.958333333333333</v>
      </c>
      <c r="M19" s="22">
        <v>0.434027777777778</v>
      </c>
      <c r="N19" s="23"/>
      <c r="O19" s="24">
        <v>2481</v>
      </c>
      <c r="P19" s="25">
        <f>IFERROR(Таблица2[[#This Row],[сумма отгрузки текущая]]/40,"")</f>
        <v>62.025</v>
      </c>
      <c r="Q19" s="33">
        <f>IFERROR(ROUNDUP(Таблица2[[#This Row],[кол-во ед. продукции]]/20,0),"")</f>
        <v>4</v>
      </c>
      <c r="R19" s="24">
        <f t="shared" si="0"/>
        <v>2729.1</v>
      </c>
      <c r="S19" s="25">
        <f>IFERROR(Таблица2[[#This Row],[сумма отгрузки план]]/40,"")</f>
        <v>68.2275</v>
      </c>
      <c r="T19" s="15">
        <f>IFERROR(ROUNDUP(Таблица2[[#This Row],[кол-во продукции план]]/20,0),"")</f>
        <v>4</v>
      </c>
    </row>
    <row r="20" ht="28.8" spans="1:20">
      <c r="A20">
        <f>SUBTOTAL(3,C$1:C19)</f>
        <v>19</v>
      </c>
      <c r="B20" s="3" t="s">
        <v>92</v>
      </c>
      <c r="C20" s="7" t="s">
        <v>93</v>
      </c>
      <c r="D20" s="14" t="s">
        <v>94</v>
      </c>
      <c r="E20" s="15" t="s">
        <v>95</v>
      </c>
      <c r="F20" t="s">
        <v>23</v>
      </c>
      <c r="H20" t="s">
        <v>63</v>
      </c>
      <c r="I20" s="3">
        <f>VLOOKUP(Таблица2[[#This Row],[канал сбыта]],справочники!A:D,4,0)</f>
        <v>3</v>
      </c>
      <c r="J20" s="21">
        <f>VLOOKUP(Таблица2[[#This Row],[канал сбыта]],справочники!A:E,5,0)</f>
        <v>0.00694444444444444</v>
      </c>
      <c r="K20" s="22">
        <f>VLOOKUP(Таблица2[[#This Row],[канал сбыта]],справочники!A:E,2,0)</f>
        <v>0.0833333333333333</v>
      </c>
      <c r="L20" s="22">
        <f>VLOOKUP(Таблица2[[#This Row],[канал сбыта]],справочники!A:E,3,0)</f>
        <v>0.958333333333333</v>
      </c>
      <c r="M20" s="22">
        <v>0.440972222222222</v>
      </c>
      <c r="N20" s="23"/>
      <c r="O20" s="24">
        <v>6033</v>
      </c>
      <c r="P20" s="25">
        <f>IFERROR(Таблица2[[#This Row],[сумма отгрузки текущая]]/40,"")</f>
        <v>150.825</v>
      </c>
      <c r="Q20" s="33">
        <f>IFERROR(ROUNDUP(Таблица2[[#This Row],[кол-во ед. продукции]]/20,0),"")</f>
        <v>8</v>
      </c>
      <c r="R20" s="24">
        <f t="shared" si="0"/>
        <v>6636.3</v>
      </c>
      <c r="S20" s="25">
        <f>IFERROR(Таблица2[[#This Row],[сумма отгрузки план]]/40,"")</f>
        <v>165.9075</v>
      </c>
      <c r="T20" s="15">
        <f>IFERROR(ROUNDUP(Таблица2[[#This Row],[кол-во продукции план]]/20,0),"")</f>
        <v>9</v>
      </c>
    </row>
    <row r="21" ht="28.8" spans="1:20">
      <c r="A21">
        <f>SUBTOTAL(3,C$1:C20)</f>
        <v>20</v>
      </c>
      <c r="B21" s="3" t="s">
        <v>96</v>
      </c>
      <c r="C21" s="7" t="s">
        <v>97</v>
      </c>
      <c r="D21" s="14" t="s">
        <v>98</v>
      </c>
      <c r="E21" s="15" t="s">
        <v>99</v>
      </c>
      <c r="F21" t="s">
        <v>23</v>
      </c>
      <c r="H21" t="s">
        <v>55</v>
      </c>
      <c r="I21" s="3">
        <f>VLOOKUP(Таблица2[[#This Row],[канал сбыта]],справочники!A:D,4,0)</f>
        <v>3</v>
      </c>
      <c r="J21" s="21">
        <f>VLOOKUP(Таблица2[[#This Row],[канал сбыта]],справочники!A:E,5,0)</f>
        <v>0.00486111111111111</v>
      </c>
      <c r="K21" s="22">
        <f>VLOOKUP(Таблица2[[#This Row],[канал сбыта]],справочники!A:E,2,0)</f>
        <v>0.0833333333333333</v>
      </c>
      <c r="L21" s="22">
        <f>VLOOKUP(Таблица2[[#This Row],[канал сбыта]],справочники!A:E,3,0)</f>
        <v>0.958333333333333</v>
      </c>
      <c r="M21" s="22">
        <v>0.451388888888889</v>
      </c>
      <c r="N21" s="23"/>
      <c r="O21" s="24">
        <v>3273</v>
      </c>
      <c r="P21" s="25">
        <f>IFERROR(Таблица2[[#This Row],[сумма отгрузки текущая]]/40,"")</f>
        <v>81.825</v>
      </c>
      <c r="Q21" s="33">
        <f>IFERROR(ROUNDUP(Таблица2[[#This Row],[кол-во ед. продукции]]/20,0),"")</f>
        <v>5</v>
      </c>
      <c r="R21" s="24">
        <f t="shared" si="0"/>
        <v>3600.3</v>
      </c>
      <c r="S21" s="25">
        <f>IFERROR(Таблица2[[#This Row],[сумма отгрузки план]]/40,"")</f>
        <v>90.0075</v>
      </c>
      <c r="T21" s="15">
        <f>IFERROR(ROUNDUP(Таблица2[[#This Row],[кол-во продукции план]]/20,0),"")</f>
        <v>5</v>
      </c>
    </row>
    <row r="22" ht="28.8" spans="1:20">
      <c r="A22">
        <f>SUBTOTAL(3,C$1:C21)</f>
        <v>21</v>
      </c>
      <c r="B22" s="3" t="s">
        <v>100</v>
      </c>
      <c r="C22" s="7" t="s">
        <v>101</v>
      </c>
      <c r="D22" s="14" t="s">
        <v>102</v>
      </c>
      <c r="E22" s="15" t="s">
        <v>103</v>
      </c>
      <c r="F22" t="s">
        <v>23</v>
      </c>
      <c r="H22" t="s">
        <v>55</v>
      </c>
      <c r="I22" s="3">
        <f>VLOOKUP(Таблица2[[#This Row],[канал сбыта]],справочники!A:D,4,0)</f>
        <v>3</v>
      </c>
      <c r="J22" s="21">
        <f>VLOOKUP(Таблица2[[#This Row],[канал сбыта]],справочники!A:E,5,0)</f>
        <v>0.00486111111111111</v>
      </c>
      <c r="K22" s="22">
        <f>VLOOKUP(Таблица2[[#This Row],[канал сбыта]],справочники!A:E,2,0)</f>
        <v>0.0833333333333333</v>
      </c>
      <c r="L22" s="22">
        <f>VLOOKUP(Таблица2[[#This Row],[канал сбыта]],справочники!A:E,3,0)</f>
        <v>0.958333333333333</v>
      </c>
      <c r="M22" s="22">
        <v>0.461805555555556</v>
      </c>
      <c r="N22" s="23"/>
      <c r="O22" s="24">
        <v>6255</v>
      </c>
      <c r="P22" s="25">
        <f>IFERROR(Таблица2[[#This Row],[сумма отгрузки текущая]]/40,"")</f>
        <v>156.375</v>
      </c>
      <c r="Q22" s="33">
        <f>IFERROR(ROUNDUP(Таблица2[[#This Row],[кол-во ед. продукции]]/20,0),"")</f>
        <v>8</v>
      </c>
      <c r="R22" s="24">
        <f t="shared" si="0"/>
        <v>6880.5</v>
      </c>
      <c r="S22" s="25">
        <f>IFERROR(Таблица2[[#This Row],[сумма отгрузки план]]/40,"")</f>
        <v>172.0125</v>
      </c>
      <c r="T22" s="15">
        <f>IFERROR(ROUNDUP(Таблица2[[#This Row],[кол-во продукции план]]/20,0),"")</f>
        <v>9</v>
      </c>
    </row>
    <row r="23" ht="28.8" spans="1:20">
      <c r="A23">
        <f>SUBTOTAL(3,C$1:C22)</f>
        <v>22</v>
      </c>
      <c r="B23" s="3" t="s">
        <v>104</v>
      </c>
      <c r="C23" s="7" t="s">
        <v>105</v>
      </c>
      <c r="D23" s="14" t="s">
        <v>106</v>
      </c>
      <c r="E23" s="15" t="s">
        <v>107</v>
      </c>
      <c r="F23" t="s">
        <v>23</v>
      </c>
      <c r="H23" t="s">
        <v>108</v>
      </c>
      <c r="I23" s="3">
        <f>VLOOKUP(Таблица2[[#This Row],[канал сбыта]],справочники!A:D,4,0)</f>
        <v>3</v>
      </c>
      <c r="J23" s="21">
        <f>VLOOKUP(Таблица2[[#This Row],[канал сбыта]],справочники!A:E,5,0)</f>
        <v>0.00486111111111111</v>
      </c>
      <c r="K23" s="22">
        <f>VLOOKUP(Таблица2[[#This Row],[канал сбыта]],справочники!A:E,2,0)</f>
        <v>0.0833333333333333</v>
      </c>
      <c r="L23" s="22">
        <f>VLOOKUP(Таблица2[[#This Row],[канал сбыта]],справочники!A:E,3,0)</f>
        <v>0.958333333333333</v>
      </c>
      <c r="M23" s="22">
        <v>0.472222222222222</v>
      </c>
      <c r="N23" s="23"/>
      <c r="O23" s="24">
        <v>1245</v>
      </c>
      <c r="P23" s="25">
        <f>IFERROR(Таблица2[[#This Row],[сумма отгрузки текущая]]/40,"")</f>
        <v>31.125</v>
      </c>
      <c r="Q23" s="33">
        <f>IFERROR(ROUNDUP(Таблица2[[#This Row],[кол-во ед. продукции]]/20,0),"")</f>
        <v>2</v>
      </c>
      <c r="R23" s="24">
        <f t="shared" si="0"/>
        <v>1369.5</v>
      </c>
      <c r="S23" s="25">
        <f>IFERROR(Таблица2[[#This Row],[сумма отгрузки план]]/40,"")</f>
        <v>34.2375</v>
      </c>
      <c r="T23" s="15">
        <f>IFERROR(ROUNDUP(Таблица2[[#This Row],[кол-во продукции план]]/20,0),"")</f>
        <v>2</v>
      </c>
    </row>
    <row r="24" ht="28.8" spans="1:20">
      <c r="A24">
        <f>SUBTOTAL(3,C$1:C23)</f>
        <v>23</v>
      </c>
      <c r="B24" s="3" t="s">
        <v>109</v>
      </c>
      <c r="C24" s="7" t="s">
        <v>110</v>
      </c>
      <c r="D24" s="14" t="s">
        <v>111</v>
      </c>
      <c r="E24" s="15" t="s">
        <v>112</v>
      </c>
      <c r="F24" t="s">
        <v>113</v>
      </c>
      <c r="H24" s="16" t="s">
        <v>24</v>
      </c>
      <c r="I24" s="26">
        <f>VLOOKUP(Таблица2[[#This Row],[канал сбыта]],справочники!A:D,4,0)</f>
        <v>3</v>
      </c>
      <c r="J24" s="27">
        <f>VLOOKUP(Таблица2[[#This Row],[канал сбыта]],справочники!A:E,5,0)</f>
        <v>0.00347222222222222</v>
      </c>
      <c r="K24" s="28">
        <f>VLOOKUP(Таблица2[[#This Row],[канал сбыта]],справочники!A:E,2,0)</f>
        <v>0.0833333333333333</v>
      </c>
      <c r="L24" s="28">
        <f>VLOOKUP(Таблица2[[#This Row],[канал сбыта]],справочники!A:E,3,0)</f>
        <v>0.958333333333333</v>
      </c>
      <c r="M24" s="22">
        <v>0.25</v>
      </c>
      <c r="N24" s="23"/>
      <c r="O24" s="24">
        <v>699</v>
      </c>
      <c r="P24" s="25">
        <f>IFERROR(Таблица2[[#This Row],[сумма отгрузки текущая]]/40,"")</f>
        <v>17.475</v>
      </c>
      <c r="Q24" s="33">
        <f>IFERROR(ROUNDUP(Таблица2[[#This Row],[кол-во ед. продукции]]/20,0),"")</f>
        <v>1</v>
      </c>
      <c r="R24" s="24">
        <f t="shared" si="0"/>
        <v>768.9</v>
      </c>
      <c r="S24" s="25">
        <f>IFERROR(Таблица2[[#This Row],[сумма отгрузки план]]/40,"")</f>
        <v>19.2225</v>
      </c>
      <c r="T24" s="15">
        <f>IFERROR(ROUNDUP(Таблица2[[#This Row],[кол-во продукции план]]/20,0),"")</f>
        <v>1</v>
      </c>
    </row>
    <row r="25" ht="28.8" spans="1:20">
      <c r="A25">
        <f>SUBTOTAL(3,C$1:C24)</f>
        <v>24</v>
      </c>
      <c r="B25" s="3" t="s">
        <v>114</v>
      </c>
      <c r="C25" s="7" t="s">
        <v>115</v>
      </c>
      <c r="D25" s="14" t="s">
        <v>116</v>
      </c>
      <c r="E25" s="15" t="s">
        <v>117</v>
      </c>
      <c r="F25" t="s">
        <v>113</v>
      </c>
      <c r="H25" s="16" t="s">
        <v>35</v>
      </c>
      <c r="I25" s="26">
        <f>VLOOKUP(Таблица2[[#This Row],[канал сбыта]],справочники!A:D,4,0)</f>
        <v>1</v>
      </c>
      <c r="J25" s="27">
        <f>VLOOKUP(Таблица2[[#This Row],[канал сбыта]],справочники!A:E,5,0)</f>
        <v>0.00486111111111111</v>
      </c>
      <c r="K25" s="28">
        <f>VLOOKUP(Таблица2[[#This Row],[канал сбыта]],справочники!A:E,2,0)</f>
        <v>0.0833333333333333</v>
      </c>
      <c r="L25" s="28">
        <f>VLOOKUP(Таблица2[[#This Row],[канал сбыта]],справочники!A:E,3,0)</f>
        <v>0.958333333333333</v>
      </c>
      <c r="M25" s="22">
        <v>0.256944444444444</v>
      </c>
      <c r="N25" s="23"/>
      <c r="O25" s="24">
        <v>236.5</v>
      </c>
      <c r="P25" s="25">
        <f>IFERROR(Таблица2[[#This Row],[сумма отгрузки текущая]]/40,"")</f>
        <v>5.9125</v>
      </c>
      <c r="Q25" s="33">
        <f>IFERROR(ROUNDUP(Таблица2[[#This Row],[кол-во ед. продукции]]/20,0),"")</f>
        <v>1</v>
      </c>
      <c r="R25" s="24">
        <f t="shared" si="0"/>
        <v>260.15</v>
      </c>
      <c r="S25" s="25">
        <f>IFERROR(Таблица2[[#This Row],[сумма отгрузки план]]/40,"")</f>
        <v>6.50375</v>
      </c>
      <c r="T25" s="15">
        <f>IFERROR(ROUNDUP(Таблица2[[#This Row],[кол-во продукции план]]/20,0),"")</f>
        <v>1</v>
      </c>
    </row>
    <row r="26" ht="28.8" spans="1:20">
      <c r="A26">
        <f>SUBTOTAL(3,C$1:C25)</f>
        <v>25</v>
      </c>
      <c r="B26" s="3" t="s">
        <v>118</v>
      </c>
      <c r="C26" s="7" t="s">
        <v>119</v>
      </c>
      <c r="D26" s="14" t="s">
        <v>120</v>
      </c>
      <c r="E26" s="15" t="s">
        <v>121</v>
      </c>
      <c r="F26" t="s">
        <v>113</v>
      </c>
      <c r="H26" s="16" t="s">
        <v>35</v>
      </c>
      <c r="I26" s="26">
        <f>VLOOKUP(Таблица2[[#This Row],[канал сбыта]],справочники!A:D,4,0)</f>
        <v>1</v>
      </c>
      <c r="J26" s="27">
        <f>VLOOKUP(Таблица2[[#This Row],[канал сбыта]],справочники!A:E,5,0)</f>
        <v>0.00486111111111111</v>
      </c>
      <c r="K26" s="28">
        <f>VLOOKUP(Таблица2[[#This Row],[канал сбыта]],справочники!A:E,2,0)</f>
        <v>0.0833333333333333</v>
      </c>
      <c r="L26" s="28">
        <f>VLOOKUP(Таблица2[[#This Row],[канал сбыта]],справочники!A:E,3,0)</f>
        <v>0.958333333333333</v>
      </c>
      <c r="M26" s="22">
        <v>0.263888888888889</v>
      </c>
      <c r="N26" s="23"/>
      <c r="O26" s="24">
        <v>295.5</v>
      </c>
      <c r="P26" s="25">
        <f>IFERROR(Таблица2[[#This Row],[сумма отгрузки текущая]]/40,"")</f>
        <v>7.3875</v>
      </c>
      <c r="Q26" s="33">
        <f>IFERROR(ROUNDUP(Таблица2[[#This Row],[кол-во ед. продукции]]/20,0),"")</f>
        <v>1</v>
      </c>
      <c r="R26" s="24">
        <f t="shared" si="0"/>
        <v>325.05</v>
      </c>
      <c r="S26" s="25">
        <f>IFERROR(Таблица2[[#This Row],[сумма отгрузки план]]/40,"")</f>
        <v>8.12625</v>
      </c>
      <c r="T26" s="15">
        <f>IFERROR(ROUNDUP(Таблица2[[#This Row],[кол-во продукции план]]/20,0),"")</f>
        <v>1</v>
      </c>
    </row>
    <row r="27" ht="28.8" spans="1:20">
      <c r="A27">
        <f>SUBTOTAL(3,C$1:C26)</f>
        <v>26</v>
      </c>
      <c r="B27" s="3" t="s">
        <v>122</v>
      </c>
      <c r="C27" s="7" t="s">
        <v>123</v>
      </c>
      <c r="D27" s="14" t="s">
        <v>124</v>
      </c>
      <c r="E27" s="15" t="s">
        <v>125</v>
      </c>
      <c r="F27" t="s">
        <v>113</v>
      </c>
      <c r="H27" s="16" t="s">
        <v>35</v>
      </c>
      <c r="I27" s="26">
        <f>VLOOKUP(Таблица2[[#This Row],[канал сбыта]],справочники!A:D,4,0)</f>
        <v>1</v>
      </c>
      <c r="J27" s="27">
        <f>VLOOKUP(Таблица2[[#This Row],[канал сбыта]],справочники!A:E,5,0)</f>
        <v>0.00486111111111111</v>
      </c>
      <c r="K27" s="28">
        <f>VLOOKUP(Таблица2[[#This Row],[канал сбыта]],справочники!A:E,2,0)</f>
        <v>0.0833333333333333</v>
      </c>
      <c r="L27" s="28">
        <f>VLOOKUP(Таблица2[[#This Row],[канал сбыта]],справочники!A:E,3,0)</f>
        <v>0.958333333333333</v>
      </c>
      <c r="M27" s="22">
        <v>0.277777777777778</v>
      </c>
      <c r="N27" s="23"/>
      <c r="O27" s="24">
        <v>4215</v>
      </c>
      <c r="P27" s="25">
        <f>IFERROR(Таблица2[[#This Row],[сумма отгрузки текущая]]/40,"")</f>
        <v>105.375</v>
      </c>
      <c r="Q27" s="33">
        <f>IFERROR(ROUNDUP(Таблица2[[#This Row],[кол-во ед. продукции]]/20,0),"")</f>
        <v>6</v>
      </c>
      <c r="R27" s="24">
        <f t="shared" si="0"/>
        <v>4636.5</v>
      </c>
      <c r="S27" s="25">
        <f>IFERROR(Таблица2[[#This Row],[сумма отгрузки план]]/40,"")</f>
        <v>115.9125</v>
      </c>
      <c r="T27" s="15">
        <f>IFERROR(ROUNDUP(Таблица2[[#This Row],[кол-во продукции план]]/20,0),"")</f>
        <v>6</v>
      </c>
    </row>
    <row r="28" ht="28.8" spans="1:20">
      <c r="A28">
        <f>SUBTOTAL(3,C$1:C27)</f>
        <v>27</v>
      </c>
      <c r="B28" s="3" t="s">
        <v>126</v>
      </c>
      <c r="C28" s="7" t="s">
        <v>127</v>
      </c>
      <c r="D28" s="14" t="s">
        <v>128</v>
      </c>
      <c r="E28" s="15" t="s">
        <v>129</v>
      </c>
      <c r="F28" t="s">
        <v>113</v>
      </c>
      <c r="H28" s="16" t="s">
        <v>130</v>
      </c>
      <c r="I28" s="26">
        <f>VLOOKUP(Таблица2[[#This Row],[канал сбыта]],справочники!A:D,4,0)</f>
        <v>2</v>
      </c>
      <c r="J28" s="27">
        <f>VLOOKUP(Таблица2[[#This Row],[канал сбыта]],справочники!A:E,5,0)</f>
        <v>0.0138888888888889</v>
      </c>
      <c r="K28" s="28">
        <f>VLOOKUP(Таблица2[[#This Row],[канал сбыта]],справочники!A:E,2,0)</f>
        <v>0.0833333333333333</v>
      </c>
      <c r="L28" s="28">
        <f>VLOOKUP(Таблица2[[#This Row],[канал сбыта]],справочники!A:E,3,0)</f>
        <v>0.958333333333333</v>
      </c>
      <c r="M28" s="22">
        <v>0.288194444444444</v>
      </c>
      <c r="N28" s="23"/>
      <c r="O28" s="24">
        <v>7126</v>
      </c>
      <c r="P28" s="25">
        <f>IFERROR(Таблица2[[#This Row],[сумма отгрузки текущая]]/40,"")</f>
        <v>178.15</v>
      </c>
      <c r="Q28" s="33">
        <f>IFERROR(ROUNDUP(Таблица2[[#This Row],[кол-во ед. продукции]]/20,0),"")</f>
        <v>9</v>
      </c>
      <c r="R28" s="24">
        <f t="shared" si="0"/>
        <v>7838.6</v>
      </c>
      <c r="S28" s="25">
        <f>IFERROR(Таблица2[[#This Row],[сумма отгрузки план]]/40,"")</f>
        <v>195.965</v>
      </c>
      <c r="T28" s="15">
        <f>IFERROR(ROUNDUP(Таблица2[[#This Row],[кол-во продукции план]]/20,0),"")</f>
        <v>10</v>
      </c>
    </row>
    <row r="29" ht="14.4" spans="1:20">
      <c r="A29">
        <f>SUBTOTAL(3,C$1:C28)</f>
        <v>28</v>
      </c>
      <c r="B29" s="3" t="s">
        <v>131</v>
      </c>
      <c r="C29" s="7" t="s">
        <v>132</v>
      </c>
      <c r="D29" s="14" t="s">
        <v>133</v>
      </c>
      <c r="E29" s="15" t="s">
        <v>134</v>
      </c>
      <c r="F29" t="s">
        <v>113</v>
      </c>
      <c r="H29" s="16" t="s">
        <v>24</v>
      </c>
      <c r="I29" s="26">
        <f>VLOOKUP(Таблица2[[#This Row],[канал сбыта]],справочники!A:D,4,0)</f>
        <v>3</v>
      </c>
      <c r="J29" s="27">
        <f>VLOOKUP(Таблица2[[#This Row],[канал сбыта]],справочники!A:E,5,0)</f>
        <v>0.00347222222222222</v>
      </c>
      <c r="K29" s="28">
        <f>VLOOKUP(Таблица2[[#This Row],[канал сбыта]],справочники!A:E,2,0)</f>
        <v>0.0833333333333333</v>
      </c>
      <c r="L29" s="28">
        <f>VLOOKUP(Таблица2[[#This Row],[канал сбыта]],справочники!A:E,3,0)</f>
        <v>0.958333333333333</v>
      </c>
      <c r="M29" s="22">
        <v>0.302083333333333</v>
      </c>
      <c r="N29" s="23"/>
      <c r="O29" s="24">
        <v>252</v>
      </c>
      <c r="P29" s="25">
        <f>IFERROR(Таблица2[[#This Row],[сумма отгрузки текущая]]/40,"")</f>
        <v>6.3</v>
      </c>
      <c r="Q29" s="33">
        <f>IFERROR(ROUNDUP(Таблица2[[#This Row],[кол-во ед. продукции]]/20,0),"")</f>
        <v>1</v>
      </c>
      <c r="R29" s="24">
        <f t="shared" si="0"/>
        <v>277.2</v>
      </c>
      <c r="S29" s="25">
        <f>IFERROR(Таблица2[[#This Row],[сумма отгрузки план]]/40,"")</f>
        <v>6.93</v>
      </c>
      <c r="T29" s="15">
        <f>IFERROR(ROUNDUP(Таблица2[[#This Row],[кол-во продукции план]]/20,0),"")</f>
        <v>1</v>
      </c>
    </row>
    <row r="30" ht="28.8" spans="1:20">
      <c r="A30">
        <f>SUBTOTAL(3,C$1:C29)</f>
        <v>29</v>
      </c>
      <c r="B30" s="3">
        <v>877</v>
      </c>
      <c r="C30" s="7" t="s">
        <v>135</v>
      </c>
      <c r="D30" s="14" t="s">
        <v>136</v>
      </c>
      <c r="E30" s="15" t="s">
        <v>137</v>
      </c>
      <c r="F30" t="s">
        <v>113</v>
      </c>
      <c r="H30" s="16" t="s">
        <v>55</v>
      </c>
      <c r="I30" s="26">
        <f>VLOOKUP(Таблица2[[#This Row],[канал сбыта]],справочники!A:D,4,0)</f>
        <v>3</v>
      </c>
      <c r="J30" s="27">
        <f>VLOOKUP(Таблица2[[#This Row],[канал сбыта]],справочники!A:E,5,0)</f>
        <v>0.00486111111111111</v>
      </c>
      <c r="K30" s="28">
        <f>VLOOKUP(Таблица2[[#This Row],[канал сбыта]],справочники!A:E,2,0)</f>
        <v>0.0833333333333333</v>
      </c>
      <c r="L30" s="28">
        <f>VLOOKUP(Таблица2[[#This Row],[канал сбыта]],справочники!A:E,3,0)</f>
        <v>0.958333333333333</v>
      </c>
      <c r="M30" s="22">
        <v>0.3125</v>
      </c>
      <c r="N30" s="23"/>
      <c r="O30" s="24">
        <v>5274</v>
      </c>
      <c r="P30" s="25">
        <f>IFERROR(Таблица2[[#This Row],[сумма отгрузки текущая]]/40,"")</f>
        <v>131.85</v>
      </c>
      <c r="Q30" s="33">
        <f>IFERROR(ROUNDUP(Таблица2[[#This Row],[кол-во ед. продукции]]/20,0),"")</f>
        <v>7</v>
      </c>
      <c r="R30" s="24">
        <f t="shared" si="0"/>
        <v>5801.4</v>
      </c>
      <c r="S30" s="25">
        <f>IFERROR(Таблица2[[#This Row],[сумма отгрузки план]]/40,"")</f>
        <v>145.035</v>
      </c>
      <c r="T30" s="15">
        <f>IFERROR(ROUNDUP(Таблица2[[#This Row],[кол-во продукции план]]/20,0),"")</f>
        <v>8</v>
      </c>
    </row>
    <row r="31" ht="28.8" spans="1:20">
      <c r="A31">
        <f>SUBTOTAL(3,C$1:C30)</f>
        <v>30</v>
      </c>
      <c r="B31" s="3" t="s">
        <v>138</v>
      </c>
      <c r="C31" s="7" t="s">
        <v>139</v>
      </c>
      <c r="D31" s="14" t="s">
        <v>140</v>
      </c>
      <c r="E31" s="15" t="s">
        <v>141</v>
      </c>
      <c r="F31" t="s">
        <v>113</v>
      </c>
      <c r="H31" s="16" t="s">
        <v>24</v>
      </c>
      <c r="I31" s="26">
        <f>VLOOKUP(Таблица2[[#This Row],[канал сбыта]],справочники!A:D,4,0)</f>
        <v>3</v>
      </c>
      <c r="J31" s="27">
        <f>VLOOKUP(Таблица2[[#This Row],[канал сбыта]],справочники!A:E,5,0)</f>
        <v>0.00347222222222222</v>
      </c>
      <c r="K31" s="28">
        <f>VLOOKUP(Таблица2[[#This Row],[канал сбыта]],справочники!A:E,2,0)</f>
        <v>0.0833333333333333</v>
      </c>
      <c r="L31" s="28">
        <f>VLOOKUP(Таблица2[[#This Row],[канал сбыта]],справочники!A:E,3,0)</f>
        <v>0.958333333333333</v>
      </c>
      <c r="M31" s="22">
        <v>0.322916666666667</v>
      </c>
      <c r="N31" s="23"/>
      <c r="O31" s="24">
        <v>487</v>
      </c>
      <c r="P31" s="25">
        <f>IFERROR(Таблица2[[#This Row],[сумма отгрузки текущая]]/40,"")</f>
        <v>12.175</v>
      </c>
      <c r="Q31" s="33">
        <f>IFERROR(ROUNDUP(Таблица2[[#This Row],[кол-во ед. продукции]]/20,0),"")</f>
        <v>1</v>
      </c>
      <c r="R31" s="24">
        <f t="shared" si="0"/>
        <v>535.7</v>
      </c>
      <c r="S31" s="25">
        <f>IFERROR(Таблица2[[#This Row],[сумма отгрузки план]]/40,"")</f>
        <v>13.3925</v>
      </c>
      <c r="T31" s="15">
        <f>IFERROR(ROUNDUP(Таблица2[[#This Row],[кол-во продукции план]]/20,0),"")</f>
        <v>1</v>
      </c>
    </row>
    <row r="32" ht="28.8" spans="1:20">
      <c r="A32">
        <f>SUBTOTAL(3,C$1:C31)</f>
        <v>31</v>
      </c>
      <c r="B32" s="3" t="s">
        <v>142</v>
      </c>
      <c r="C32" s="7" t="s">
        <v>143</v>
      </c>
      <c r="D32" s="14" t="s">
        <v>144</v>
      </c>
      <c r="E32" s="15" t="s">
        <v>145</v>
      </c>
      <c r="F32" t="s">
        <v>113</v>
      </c>
      <c r="H32" s="16" t="s">
        <v>63</v>
      </c>
      <c r="I32" s="26">
        <f>VLOOKUP(Таблица2[[#This Row],[канал сбыта]],справочники!A:D,4,0)</f>
        <v>3</v>
      </c>
      <c r="J32" s="27">
        <f>VLOOKUP(Таблица2[[#This Row],[канал сбыта]],справочники!A:E,5,0)</f>
        <v>0.00694444444444444</v>
      </c>
      <c r="K32" s="28">
        <f>VLOOKUP(Таблица2[[#This Row],[канал сбыта]],справочники!A:E,2,0)</f>
        <v>0.0833333333333333</v>
      </c>
      <c r="L32" s="28">
        <f>VLOOKUP(Таблица2[[#This Row],[канал сбыта]],справочники!A:E,3,0)</f>
        <v>0.958333333333333</v>
      </c>
      <c r="M32" s="22">
        <v>0.333333333333333</v>
      </c>
      <c r="N32" s="23"/>
      <c r="O32" s="24">
        <v>7357</v>
      </c>
      <c r="P32" s="25">
        <f>IFERROR(Таблица2[[#This Row],[сумма отгрузки текущая]]/40,"")</f>
        <v>183.925</v>
      </c>
      <c r="Q32" s="33">
        <f>IFERROR(ROUNDUP(Таблица2[[#This Row],[кол-во ед. продукции]]/20,0),"")</f>
        <v>10</v>
      </c>
      <c r="R32" s="24">
        <f t="shared" si="0"/>
        <v>8092.7</v>
      </c>
      <c r="S32" s="25">
        <f>IFERROR(Таблица2[[#This Row],[сумма отгрузки план]]/40,"")</f>
        <v>202.3175</v>
      </c>
      <c r="T32" s="15">
        <f>IFERROR(ROUNDUP(Таблица2[[#This Row],[кол-во продукции план]]/20,0),"")</f>
        <v>11</v>
      </c>
    </row>
    <row r="33" ht="28.8" spans="1:20">
      <c r="A33">
        <f>SUBTOTAL(3,C$1:C32)</f>
        <v>32</v>
      </c>
      <c r="B33" s="3" t="s">
        <v>146</v>
      </c>
      <c r="C33" s="7" t="s">
        <v>147</v>
      </c>
      <c r="D33" s="14" t="s">
        <v>148</v>
      </c>
      <c r="E33" s="15" t="s">
        <v>149</v>
      </c>
      <c r="F33" t="s">
        <v>113</v>
      </c>
      <c r="H33" s="16" t="s">
        <v>91</v>
      </c>
      <c r="I33" s="26">
        <f>VLOOKUP(Таблица2[[#This Row],[канал сбыта]],справочники!A:D,4,0)</f>
        <v>3</v>
      </c>
      <c r="J33" s="27">
        <f>VLOOKUP(Таблица2[[#This Row],[канал сбыта]],справочники!A:E,5,0)</f>
        <v>0.00486111111111111</v>
      </c>
      <c r="K33" s="28">
        <f>VLOOKUP(Таблица2[[#This Row],[канал сбыта]],справочники!A:E,2,0)</f>
        <v>0.0833333333333333</v>
      </c>
      <c r="L33" s="28">
        <f>VLOOKUP(Таблица2[[#This Row],[канал сбыта]],справочники!A:E,3,0)</f>
        <v>0.958333333333333</v>
      </c>
      <c r="M33" s="22">
        <v>0.340277777777778</v>
      </c>
      <c r="N33" s="23"/>
      <c r="O33" s="24">
        <v>3494</v>
      </c>
      <c r="P33" s="25">
        <f>IFERROR(Таблица2[[#This Row],[сумма отгрузки текущая]]/40,"")</f>
        <v>87.35</v>
      </c>
      <c r="Q33" s="33">
        <f>IFERROR(ROUNDUP(Таблица2[[#This Row],[кол-во ед. продукции]]/20,0),"")</f>
        <v>5</v>
      </c>
      <c r="R33" s="24">
        <f t="shared" si="0"/>
        <v>3843.4</v>
      </c>
      <c r="S33" s="25">
        <f>IFERROR(Таблица2[[#This Row],[сумма отгрузки план]]/40,"")</f>
        <v>96.085</v>
      </c>
      <c r="T33" s="15">
        <f>IFERROR(ROUNDUP(Таблица2[[#This Row],[кол-во продукции план]]/20,0),"")</f>
        <v>5</v>
      </c>
    </row>
    <row r="34" ht="28.8" spans="1:20">
      <c r="A34">
        <f>SUBTOTAL(3,C$1:C33)</f>
        <v>33</v>
      </c>
      <c r="B34" s="3" t="s">
        <v>150</v>
      </c>
      <c r="C34" s="7" t="s">
        <v>151</v>
      </c>
      <c r="D34" s="14" t="s">
        <v>152</v>
      </c>
      <c r="E34" s="15" t="s">
        <v>153</v>
      </c>
      <c r="F34" t="s">
        <v>113</v>
      </c>
      <c r="H34" s="16" t="s">
        <v>24</v>
      </c>
      <c r="I34" s="26">
        <f>VLOOKUP(Таблица2[[#This Row],[канал сбыта]],справочники!A:D,4,0)</f>
        <v>3</v>
      </c>
      <c r="J34" s="27">
        <f>VLOOKUP(Таблица2[[#This Row],[канал сбыта]],справочники!A:E,5,0)</f>
        <v>0.00347222222222222</v>
      </c>
      <c r="K34" s="28">
        <f>VLOOKUP(Таблица2[[#This Row],[канал сбыта]],справочники!A:E,2,0)</f>
        <v>0.0833333333333333</v>
      </c>
      <c r="L34" s="28">
        <f>VLOOKUP(Таблица2[[#This Row],[канал сбыта]],справочники!A:E,3,0)</f>
        <v>0.958333333333333</v>
      </c>
      <c r="M34" s="22">
        <v>0.347222222222222</v>
      </c>
      <c r="N34" s="23"/>
      <c r="O34" s="24">
        <v>504</v>
      </c>
      <c r="P34" s="25">
        <f>IFERROR(Таблица2[[#This Row],[сумма отгрузки текущая]]/40,"")</f>
        <v>12.6</v>
      </c>
      <c r="Q34" s="33">
        <f>IFERROR(ROUNDUP(Таблица2[[#This Row],[кол-во ед. продукции]]/20,0),"")</f>
        <v>1</v>
      </c>
      <c r="R34" s="24">
        <f t="shared" si="0"/>
        <v>554.4</v>
      </c>
      <c r="S34" s="25">
        <f>IFERROR(Таблица2[[#This Row],[сумма отгрузки план]]/40,"")</f>
        <v>13.86</v>
      </c>
      <c r="T34" s="15">
        <f>IFERROR(ROUNDUP(Таблица2[[#This Row],[кол-во продукции план]]/20,0),"")</f>
        <v>1</v>
      </c>
    </row>
    <row r="35" ht="28.8" spans="1:20">
      <c r="A35">
        <f>SUBTOTAL(3,C$1:C34)</f>
        <v>34</v>
      </c>
      <c r="B35" s="3" t="s">
        <v>154</v>
      </c>
      <c r="C35" s="7" t="s">
        <v>155</v>
      </c>
      <c r="D35" s="14" t="s">
        <v>156</v>
      </c>
      <c r="E35" s="15" t="s">
        <v>157</v>
      </c>
      <c r="F35" t="s">
        <v>113</v>
      </c>
      <c r="H35" s="16" t="s">
        <v>55</v>
      </c>
      <c r="I35" s="26">
        <f>VLOOKUP(Таблица2[[#This Row],[канал сбыта]],справочники!A:D,4,0)</f>
        <v>3</v>
      </c>
      <c r="J35" s="27">
        <f>VLOOKUP(Таблица2[[#This Row],[канал сбыта]],справочники!A:E,5,0)</f>
        <v>0.00486111111111111</v>
      </c>
      <c r="K35" s="28">
        <f>VLOOKUP(Таблица2[[#This Row],[канал сбыта]],справочники!A:E,2,0)</f>
        <v>0.0833333333333333</v>
      </c>
      <c r="L35" s="28">
        <f>VLOOKUP(Таблица2[[#This Row],[канал сбыта]],справочники!A:E,3,0)</f>
        <v>0.958333333333333</v>
      </c>
      <c r="M35" s="22">
        <v>0.354166666666667</v>
      </c>
      <c r="N35" s="23"/>
      <c r="O35" s="24">
        <v>6610</v>
      </c>
      <c r="P35" s="25">
        <f>IFERROR(Таблица2[[#This Row],[сумма отгрузки текущая]]/40,"")</f>
        <v>165.25</v>
      </c>
      <c r="Q35" s="33">
        <f>IFERROR(ROUNDUP(Таблица2[[#This Row],[кол-во ед. продукции]]/20,0),"")</f>
        <v>9</v>
      </c>
      <c r="R35" s="24">
        <f t="shared" si="0"/>
        <v>7271</v>
      </c>
      <c r="S35" s="25">
        <f>IFERROR(Таблица2[[#This Row],[сумма отгрузки план]]/40,"")</f>
        <v>181.775</v>
      </c>
      <c r="T35" s="15">
        <f>IFERROR(ROUNDUP(Таблица2[[#This Row],[кол-во продукции план]]/20,0),"")</f>
        <v>10</v>
      </c>
    </row>
    <row r="36" ht="28.8" spans="1:20">
      <c r="A36">
        <f>SUBTOTAL(3,C$1:C35)</f>
        <v>35</v>
      </c>
      <c r="B36" s="3" t="s">
        <v>158</v>
      </c>
      <c r="C36" s="7" t="s">
        <v>159</v>
      </c>
      <c r="D36" s="14" t="s">
        <v>160</v>
      </c>
      <c r="E36" s="15" t="s">
        <v>161</v>
      </c>
      <c r="F36" t="s">
        <v>113</v>
      </c>
      <c r="H36" s="16" t="s">
        <v>91</v>
      </c>
      <c r="I36" s="26">
        <f>VLOOKUP(Таблица2[[#This Row],[канал сбыта]],справочники!A:D,4,0)</f>
        <v>3</v>
      </c>
      <c r="J36" s="27">
        <f>VLOOKUP(Таблица2[[#This Row],[канал сбыта]],справочники!A:E,5,0)</f>
        <v>0.00486111111111111</v>
      </c>
      <c r="K36" s="28">
        <f>VLOOKUP(Таблица2[[#This Row],[канал сбыта]],справочники!A:E,2,0)</f>
        <v>0.0833333333333333</v>
      </c>
      <c r="L36" s="28">
        <f>VLOOKUP(Таблица2[[#This Row],[канал сбыта]],справочники!A:E,3,0)</f>
        <v>0.958333333333333</v>
      </c>
      <c r="M36" s="22">
        <v>0.361111111111111</v>
      </c>
      <c r="N36" s="23"/>
      <c r="O36" s="24">
        <v>3897</v>
      </c>
      <c r="P36" s="25">
        <f>IFERROR(Таблица2[[#This Row],[сумма отгрузки текущая]]/40,"")</f>
        <v>97.425</v>
      </c>
      <c r="Q36" s="33">
        <f>IFERROR(ROUNDUP(Таблица2[[#This Row],[кол-во ед. продукции]]/20,0),"")</f>
        <v>5</v>
      </c>
      <c r="R36" s="24">
        <f t="shared" si="0"/>
        <v>4286.7</v>
      </c>
      <c r="S36" s="25">
        <f>IFERROR(Таблица2[[#This Row],[сумма отгрузки план]]/40,"")</f>
        <v>107.1675</v>
      </c>
      <c r="T36" s="15">
        <f>IFERROR(ROUNDUP(Таблица2[[#This Row],[кол-во продукции план]]/20,0),"")</f>
        <v>6</v>
      </c>
    </row>
    <row r="37" ht="43.2" spans="1:20">
      <c r="A37">
        <f>SUBTOTAL(3,C$1:C36)</f>
        <v>36</v>
      </c>
      <c r="B37" s="3" t="s">
        <v>162</v>
      </c>
      <c r="C37" s="7" t="s">
        <v>163</v>
      </c>
      <c r="D37" s="14" t="s">
        <v>164</v>
      </c>
      <c r="E37" s="15" t="s">
        <v>165</v>
      </c>
      <c r="F37" t="s">
        <v>113</v>
      </c>
      <c r="H37" s="16" t="s">
        <v>24</v>
      </c>
      <c r="I37" s="26">
        <f>VLOOKUP(Таблица2[[#This Row],[канал сбыта]],справочники!A:D,4,0)</f>
        <v>3</v>
      </c>
      <c r="J37" s="27">
        <f>VLOOKUP(Таблица2[[#This Row],[канал сбыта]],справочники!A:E,5,0)</f>
        <v>0.00347222222222222</v>
      </c>
      <c r="K37" s="28">
        <f>VLOOKUP(Таблица2[[#This Row],[канал сбыта]],справочники!A:E,2,0)</f>
        <v>0.0833333333333333</v>
      </c>
      <c r="L37" s="28">
        <f>VLOOKUP(Таблица2[[#This Row],[канал сбыта]],справочники!A:E,3,0)</f>
        <v>0.958333333333333</v>
      </c>
      <c r="M37" s="22">
        <v>0.371527777777778</v>
      </c>
      <c r="N37" s="23"/>
      <c r="O37" s="24">
        <v>920</v>
      </c>
      <c r="P37" s="25">
        <f>IFERROR(Таблица2[[#This Row],[сумма отгрузки текущая]]/40,"")</f>
        <v>23</v>
      </c>
      <c r="Q37" s="33">
        <f>IFERROR(ROUNDUP(Таблица2[[#This Row],[кол-во ед. продукции]]/20,0),"")</f>
        <v>2</v>
      </c>
      <c r="R37" s="24">
        <f t="shared" si="0"/>
        <v>1012</v>
      </c>
      <c r="S37" s="25">
        <f>IFERROR(Таблица2[[#This Row],[сумма отгрузки план]]/40,"")</f>
        <v>25.3</v>
      </c>
      <c r="T37" s="15">
        <f>IFERROR(ROUNDUP(Таблица2[[#This Row],[кол-во продукции план]]/20,0),"")</f>
        <v>2</v>
      </c>
    </row>
    <row r="38" ht="28.8" spans="1:20">
      <c r="A38">
        <f>SUBTOTAL(3,C$1:C37)</f>
        <v>37</v>
      </c>
      <c r="B38" s="3" t="s">
        <v>166</v>
      </c>
      <c r="C38" s="7" t="s">
        <v>167</v>
      </c>
      <c r="D38" s="14" t="s">
        <v>168</v>
      </c>
      <c r="E38" s="15" t="s">
        <v>169</v>
      </c>
      <c r="F38" t="s">
        <v>113</v>
      </c>
      <c r="H38" s="16" t="s">
        <v>24</v>
      </c>
      <c r="I38" s="26">
        <f>VLOOKUP(Таблица2[[#This Row],[канал сбыта]],справочники!A:D,4,0)</f>
        <v>3</v>
      </c>
      <c r="J38" s="27">
        <f>VLOOKUP(Таблица2[[#This Row],[канал сбыта]],справочники!A:E,5,0)</f>
        <v>0.00347222222222222</v>
      </c>
      <c r="K38" s="28">
        <f>VLOOKUP(Таблица2[[#This Row],[канал сбыта]],справочники!A:E,2,0)</f>
        <v>0.0833333333333333</v>
      </c>
      <c r="L38" s="28">
        <f>VLOOKUP(Таблица2[[#This Row],[канал сбыта]],справочники!A:E,3,0)</f>
        <v>0.958333333333333</v>
      </c>
      <c r="M38" s="22">
        <v>0.381944444444444</v>
      </c>
      <c r="N38" s="23"/>
      <c r="O38" s="24">
        <v>1099</v>
      </c>
      <c r="P38" s="25">
        <f>IFERROR(Таблица2[[#This Row],[сумма отгрузки текущая]]/40,"")</f>
        <v>27.475</v>
      </c>
      <c r="Q38" s="33">
        <f>IFERROR(ROUNDUP(Таблица2[[#This Row],[кол-во ед. продукции]]/20,0),"")</f>
        <v>2</v>
      </c>
      <c r="R38" s="24">
        <f t="shared" si="0"/>
        <v>1208.9</v>
      </c>
      <c r="S38" s="25">
        <f>IFERROR(Таблица2[[#This Row],[сумма отгрузки план]]/40,"")</f>
        <v>30.2225</v>
      </c>
      <c r="T38" s="15">
        <f>IFERROR(ROUNDUP(Таблица2[[#This Row],[кол-во продукции план]]/20,0),"")</f>
        <v>2</v>
      </c>
    </row>
    <row r="39" ht="28.8" spans="1:20">
      <c r="A39">
        <f>SUBTOTAL(3,C$1:C38)</f>
        <v>38</v>
      </c>
      <c r="B39" s="3" t="s">
        <v>170</v>
      </c>
      <c r="C39" s="7" t="s">
        <v>171</v>
      </c>
      <c r="D39" s="14" t="s">
        <v>172</v>
      </c>
      <c r="E39" s="15" t="s">
        <v>173</v>
      </c>
      <c r="F39" t="s">
        <v>113</v>
      </c>
      <c r="H39" s="16" t="s">
        <v>63</v>
      </c>
      <c r="I39" s="26">
        <f>VLOOKUP(Таблица2[[#This Row],[канал сбыта]],справочники!A:D,4,0)</f>
        <v>3</v>
      </c>
      <c r="J39" s="27">
        <f>VLOOKUP(Таблица2[[#This Row],[канал сбыта]],справочники!A:E,5,0)</f>
        <v>0.00694444444444444</v>
      </c>
      <c r="K39" s="28">
        <f>VLOOKUP(Таблица2[[#This Row],[канал сбыта]],справочники!A:E,2,0)</f>
        <v>0.0833333333333333</v>
      </c>
      <c r="L39" s="28">
        <f>VLOOKUP(Таблица2[[#This Row],[канал сбыта]],справочники!A:E,3,0)</f>
        <v>0.958333333333333</v>
      </c>
      <c r="M39" s="22">
        <v>0.395833333333333</v>
      </c>
      <c r="N39" s="23"/>
      <c r="O39" s="24">
        <v>8377</v>
      </c>
      <c r="P39" s="25">
        <f>IFERROR(Таблица2[[#This Row],[сумма отгрузки текущая]]/40,"")</f>
        <v>209.425</v>
      </c>
      <c r="Q39" s="33">
        <f>IFERROR(ROUNDUP(Таблица2[[#This Row],[кол-во ед. продукции]]/20,0),"")</f>
        <v>11</v>
      </c>
      <c r="R39" s="24">
        <f t="shared" si="0"/>
        <v>9214.7</v>
      </c>
      <c r="S39" s="25">
        <f>IFERROR(Таблица2[[#This Row],[сумма отгрузки план]]/40,"")</f>
        <v>230.3675</v>
      </c>
      <c r="T39" s="15">
        <f>IFERROR(ROUNDUP(Таблица2[[#This Row],[кол-во продукции план]]/20,0),"")</f>
        <v>12</v>
      </c>
    </row>
    <row r="40" ht="28.8" spans="1:20">
      <c r="A40">
        <f>SUBTOTAL(3,C$1:C39)</f>
        <v>39</v>
      </c>
      <c r="B40" s="3" t="s">
        <v>174</v>
      </c>
      <c r="C40" s="7" t="s">
        <v>175</v>
      </c>
      <c r="D40" s="14" t="s">
        <v>176</v>
      </c>
      <c r="E40" s="15" t="s">
        <v>177</v>
      </c>
      <c r="F40" t="s">
        <v>113</v>
      </c>
      <c r="H40" s="16" t="s">
        <v>55</v>
      </c>
      <c r="I40" s="26">
        <f>VLOOKUP(Таблица2[[#This Row],[канал сбыта]],справочники!A:D,4,0)</f>
        <v>3</v>
      </c>
      <c r="J40" s="27">
        <f>VLOOKUP(Таблица2[[#This Row],[канал сбыта]],справочники!A:E,5,0)</f>
        <v>0.00486111111111111</v>
      </c>
      <c r="K40" s="28">
        <f>VLOOKUP(Таблица2[[#This Row],[канал сбыта]],справочники!A:E,2,0)</f>
        <v>0.0833333333333333</v>
      </c>
      <c r="L40" s="28">
        <f>VLOOKUP(Таблица2[[#This Row],[канал сбыта]],справочники!A:E,3,0)</f>
        <v>0.958333333333333</v>
      </c>
      <c r="M40" s="22">
        <v>0.402777777777778</v>
      </c>
      <c r="N40" s="23"/>
      <c r="O40" s="24">
        <v>8287</v>
      </c>
      <c r="P40" s="25">
        <f>IFERROR(Таблица2[[#This Row],[сумма отгрузки текущая]]/40,"")</f>
        <v>207.175</v>
      </c>
      <c r="Q40" s="33">
        <f>IFERROR(ROUNDUP(Таблица2[[#This Row],[кол-во ед. продукции]]/20,0),"")</f>
        <v>11</v>
      </c>
      <c r="R40" s="24">
        <f t="shared" si="0"/>
        <v>9115.7</v>
      </c>
      <c r="S40" s="25">
        <f>IFERROR(Таблица2[[#This Row],[сумма отгрузки план]]/40,"")</f>
        <v>227.8925</v>
      </c>
      <c r="T40" s="15">
        <f>IFERROR(ROUNDUP(Таблица2[[#This Row],[кол-во продукции план]]/20,0),"")</f>
        <v>12</v>
      </c>
    </row>
    <row r="41" ht="28.8" spans="1:20">
      <c r="A41">
        <f>SUBTOTAL(3,C$1:C40)</f>
        <v>40</v>
      </c>
      <c r="B41" s="3" t="s">
        <v>178</v>
      </c>
      <c r="C41" s="7" t="s">
        <v>179</v>
      </c>
      <c r="D41" s="14" t="s">
        <v>180</v>
      </c>
      <c r="E41" s="15" t="s">
        <v>70</v>
      </c>
      <c r="F41" t="s">
        <v>113</v>
      </c>
      <c r="H41" s="16" t="s">
        <v>24</v>
      </c>
      <c r="I41" s="26">
        <f>VLOOKUP(Таблица2[[#This Row],[канал сбыта]],справочники!A:D,4,0)</f>
        <v>3</v>
      </c>
      <c r="J41" s="27">
        <f>VLOOKUP(Таблица2[[#This Row],[канал сбыта]],справочники!A:E,5,0)</f>
        <v>0.00347222222222222</v>
      </c>
      <c r="K41" s="28">
        <f>VLOOKUP(Таблица2[[#This Row],[канал сбыта]],справочники!A:E,2,0)</f>
        <v>0.0833333333333333</v>
      </c>
      <c r="L41" s="28">
        <f>VLOOKUP(Таблица2[[#This Row],[канал сбыта]],справочники!A:E,3,0)</f>
        <v>0.958333333333333</v>
      </c>
      <c r="M41" s="22">
        <v>0.416666666666667</v>
      </c>
      <c r="N41" s="23"/>
      <c r="O41" s="24">
        <v>167</v>
      </c>
      <c r="P41" s="25">
        <f>IFERROR(Таблица2[[#This Row],[сумма отгрузки текущая]]/40,"")</f>
        <v>4.175</v>
      </c>
      <c r="Q41" s="33">
        <f>IFERROR(ROUNDUP(Таблица2[[#This Row],[кол-во ед. продукции]]/20,0),"")</f>
        <v>1</v>
      </c>
      <c r="R41" s="24">
        <f t="shared" si="0"/>
        <v>183.7</v>
      </c>
      <c r="S41" s="25">
        <f>IFERROR(Таблица2[[#This Row],[сумма отгрузки план]]/40,"")</f>
        <v>4.5925</v>
      </c>
      <c r="T41" s="15">
        <f>IFERROR(ROUNDUP(Таблица2[[#This Row],[кол-во продукции план]]/20,0),"")</f>
        <v>1</v>
      </c>
    </row>
    <row r="42" ht="28.8" spans="1:20">
      <c r="A42">
        <f>SUBTOTAL(3,C$1:C41)</f>
        <v>41</v>
      </c>
      <c r="B42" s="3" t="s">
        <v>181</v>
      </c>
      <c r="C42" s="7" t="s">
        <v>182</v>
      </c>
      <c r="D42" s="14" t="s">
        <v>183</v>
      </c>
      <c r="E42" s="15" t="s">
        <v>184</v>
      </c>
      <c r="F42" t="s">
        <v>113</v>
      </c>
      <c r="H42" s="16" t="s">
        <v>24</v>
      </c>
      <c r="I42" s="26">
        <f>VLOOKUP(Таблица2[[#This Row],[канал сбыта]],справочники!A:D,4,0)</f>
        <v>3</v>
      </c>
      <c r="J42" s="27">
        <f>VLOOKUP(Таблица2[[#This Row],[канал сбыта]],справочники!A:E,5,0)</f>
        <v>0.00347222222222222</v>
      </c>
      <c r="K42" s="28">
        <f>VLOOKUP(Таблица2[[#This Row],[канал сбыта]],справочники!A:E,2,0)</f>
        <v>0.0833333333333333</v>
      </c>
      <c r="L42" s="28">
        <f>VLOOKUP(Таблица2[[#This Row],[канал сбыта]],справочники!A:E,3,0)</f>
        <v>0.958333333333333</v>
      </c>
      <c r="M42" s="22">
        <v>0.430555555555556</v>
      </c>
      <c r="N42" s="23"/>
      <c r="O42" s="24">
        <v>89</v>
      </c>
      <c r="P42" s="25">
        <f>IFERROR(Таблица2[[#This Row],[сумма отгрузки текущая]]/40,"")</f>
        <v>2.225</v>
      </c>
      <c r="Q42" s="33">
        <f>IFERROR(ROUNDUP(Таблица2[[#This Row],[кол-во ед. продукции]]/20,0),"")</f>
        <v>1</v>
      </c>
      <c r="R42" s="24">
        <f t="shared" si="0"/>
        <v>97.9</v>
      </c>
      <c r="S42" s="25">
        <f>IFERROR(Таблица2[[#This Row],[сумма отгрузки план]]/40,"")</f>
        <v>2.4475</v>
      </c>
      <c r="T42" s="15">
        <f>IFERROR(ROUNDUP(Таблица2[[#This Row],[кол-во продукции план]]/20,0),"")</f>
        <v>1</v>
      </c>
    </row>
    <row r="43" ht="28.8" spans="1:20">
      <c r="A43">
        <f>SUBTOTAL(3,C$1:C42)</f>
        <v>42</v>
      </c>
      <c r="B43" s="3" t="s">
        <v>185</v>
      </c>
      <c r="C43" s="7" t="s">
        <v>186</v>
      </c>
      <c r="D43" s="14" t="s">
        <v>187</v>
      </c>
      <c r="E43" s="15" t="s">
        <v>188</v>
      </c>
      <c r="F43" t="s">
        <v>113</v>
      </c>
      <c r="H43" s="16" t="s">
        <v>24</v>
      </c>
      <c r="I43" s="26">
        <f>VLOOKUP(Таблица2[[#This Row],[канал сбыта]],справочники!A:D,4,0)</f>
        <v>3</v>
      </c>
      <c r="J43" s="27">
        <f>VLOOKUP(Таблица2[[#This Row],[канал сбыта]],справочники!A:E,5,0)</f>
        <v>0.00347222222222222</v>
      </c>
      <c r="K43" s="28">
        <f>VLOOKUP(Таблица2[[#This Row],[канал сбыта]],справочники!A:E,2,0)</f>
        <v>0.0833333333333333</v>
      </c>
      <c r="L43" s="28">
        <f>VLOOKUP(Таблица2[[#This Row],[канал сбыта]],справочники!A:E,3,0)</f>
        <v>0.958333333333333</v>
      </c>
      <c r="M43" s="22">
        <v>0.4375</v>
      </c>
      <c r="N43" s="23"/>
      <c r="O43" s="24">
        <v>2797</v>
      </c>
      <c r="P43" s="25">
        <f>IFERROR(Таблица2[[#This Row],[сумма отгрузки текущая]]/40,"")</f>
        <v>69.925</v>
      </c>
      <c r="Q43" s="33">
        <f>IFERROR(ROUNDUP(Таблица2[[#This Row],[кол-во ед. продукции]]/20,0),"")</f>
        <v>4</v>
      </c>
      <c r="R43" s="24">
        <f t="shared" si="0"/>
        <v>3076.7</v>
      </c>
      <c r="S43" s="25">
        <f>IFERROR(Таблица2[[#This Row],[сумма отгрузки план]]/40,"")</f>
        <v>76.9175</v>
      </c>
      <c r="T43" s="15">
        <f>IFERROR(ROUNDUP(Таблица2[[#This Row],[кол-во продукции план]]/20,0),"")</f>
        <v>4</v>
      </c>
    </row>
    <row r="44" ht="28.8" spans="1:20">
      <c r="A44">
        <f>SUBTOTAL(3,C$1:C43)</f>
        <v>43</v>
      </c>
      <c r="B44" s="3" t="s">
        <v>189</v>
      </c>
      <c r="C44" s="7" t="s">
        <v>190</v>
      </c>
      <c r="D44" s="14" t="s">
        <v>191</v>
      </c>
      <c r="E44" s="15" t="s">
        <v>192</v>
      </c>
      <c r="F44" t="s">
        <v>113</v>
      </c>
      <c r="H44" s="16" t="s">
        <v>108</v>
      </c>
      <c r="I44" s="26">
        <f>VLOOKUP(Таблица2[[#This Row],[канал сбыта]],справочники!A:D,4,0)</f>
        <v>3</v>
      </c>
      <c r="J44" s="27">
        <f>VLOOKUP(Таблица2[[#This Row],[канал сбыта]],справочники!A:E,5,0)</f>
        <v>0.00486111111111111</v>
      </c>
      <c r="K44" s="28">
        <f>VLOOKUP(Таблица2[[#This Row],[канал сбыта]],справочники!A:E,2,0)</f>
        <v>0.0833333333333333</v>
      </c>
      <c r="L44" s="28">
        <f>VLOOKUP(Таблица2[[#This Row],[канал сбыта]],справочники!A:E,3,0)</f>
        <v>0.958333333333333</v>
      </c>
      <c r="M44" s="22">
        <v>0.444444444444444</v>
      </c>
      <c r="N44" s="23"/>
      <c r="O44" s="24">
        <v>598</v>
      </c>
      <c r="P44" s="25">
        <f>IFERROR(Таблица2[[#This Row],[сумма отгрузки текущая]]/40,"")</f>
        <v>14.95</v>
      </c>
      <c r="Q44" s="33">
        <f>IFERROR(ROUNDUP(Таблица2[[#This Row],[кол-во ед. продукции]]/20,0),"")</f>
        <v>1</v>
      </c>
      <c r="R44" s="24">
        <f t="shared" si="0"/>
        <v>657.8</v>
      </c>
      <c r="S44" s="25">
        <f>IFERROR(Таблица2[[#This Row],[сумма отгрузки план]]/40,"")</f>
        <v>16.445</v>
      </c>
      <c r="T44" s="15">
        <f>IFERROR(ROUNDUP(Таблица2[[#This Row],[кол-во продукции план]]/20,0),"")</f>
        <v>1</v>
      </c>
    </row>
    <row r="45" ht="28.8" spans="1:20">
      <c r="A45">
        <f>SUBTOTAL(3,C$1:C44)</f>
        <v>44</v>
      </c>
      <c r="B45" s="3" t="s">
        <v>193</v>
      </c>
      <c r="C45" s="7" t="s">
        <v>194</v>
      </c>
      <c r="D45" s="14" t="s">
        <v>144</v>
      </c>
      <c r="E45" s="15" t="s">
        <v>145</v>
      </c>
      <c r="F45" t="s">
        <v>113</v>
      </c>
      <c r="H45" s="16" t="s">
        <v>108</v>
      </c>
      <c r="I45" s="26">
        <f>VLOOKUP(Таблица2[[#This Row],[канал сбыта]],справочники!A:D,4,0)</f>
        <v>3</v>
      </c>
      <c r="J45" s="27">
        <f>VLOOKUP(Таблица2[[#This Row],[канал сбыта]],справочники!A:E,5,0)</f>
        <v>0.00486111111111111</v>
      </c>
      <c r="K45" s="28">
        <f>VLOOKUP(Таблица2[[#This Row],[канал сбыта]],справочники!A:E,2,0)</f>
        <v>0.0833333333333333</v>
      </c>
      <c r="L45" s="28">
        <f>VLOOKUP(Таблица2[[#This Row],[канал сбыта]],справочники!A:E,3,0)</f>
        <v>0.958333333333333</v>
      </c>
      <c r="M45" s="22">
        <v>0.451388888888889</v>
      </c>
      <c r="N45" s="23"/>
      <c r="O45" s="24">
        <v>601</v>
      </c>
      <c r="P45" s="25">
        <f>IFERROR(Таблица2[[#This Row],[сумма отгрузки текущая]]/40,"")</f>
        <v>15.025</v>
      </c>
      <c r="Q45" s="33">
        <f>IFERROR(ROUNDUP(Таблица2[[#This Row],[кол-во ед. продукции]]/20,0),"")</f>
        <v>1</v>
      </c>
      <c r="R45" s="24">
        <f t="shared" si="0"/>
        <v>661.1</v>
      </c>
      <c r="S45" s="25">
        <f>IFERROR(Таблица2[[#This Row],[сумма отгрузки план]]/40,"")</f>
        <v>16.5275</v>
      </c>
      <c r="T45" s="15">
        <f>IFERROR(ROUNDUP(Таблица2[[#This Row],[кол-во продукции план]]/20,0),"")</f>
        <v>1</v>
      </c>
    </row>
    <row r="46" ht="28.8" spans="1:20">
      <c r="A46">
        <f>SUBTOTAL(3,C$1:C45)</f>
        <v>45</v>
      </c>
      <c r="B46" s="3" t="s">
        <v>195</v>
      </c>
      <c r="C46" s="7" t="s">
        <v>196</v>
      </c>
      <c r="D46" s="14" t="s">
        <v>197</v>
      </c>
      <c r="E46" s="15" t="s">
        <v>198</v>
      </c>
      <c r="F46" t="s">
        <v>113</v>
      </c>
      <c r="H46" s="16" t="s">
        <v>55</v>
      </c>
      <c r="I46" s="26">
        <f>VLOOKUP(Таблица2[[#This Row],[канал сбыта]],справочники!A:D,4,0)</f>
        <v>3</v>
      </c>
      <c r="J46" s="27">
        <f>VLOOKUP(Таблица2[[#This Row],[канал сбыта]],справочники!A:E,5,0)</f>
        <v>0.00486111111111111</v>
      </c>
      <c r="K46" s="28">
        <f>VLOOKUP(Таблица2[[#This Row],[канал сбыта]],справочники!A:E,2,0)</f>
        <v>0.0833333333333333</v>
      </c>
      <c r="L46" s="28">
        <f>VLOOKUP(Таблица2[[#This Row],[канал сбыта]],справочники!A:E,3,0)</f>
        <v>0.958333333333333</v>
      </c>
      <c r="M46" s="22">
        <v>0.458333333333333</v>
      </c>
      <c r="N46" s="23"/>
      <c r="O46" s="24">
        <v>5117</v>
      </c>
      <c r="P46" s="25">
        <f>IFERROR(Таблица2[[#This Row],[сумма отгрузки текущая]]/40,"")</f>
        <v>127.925</v>
      </c>
      <c r="Q46" s="33">
        <f>IFERROR(ROUNDUP(Таблица2[[#This Row],[кол-во ед. продукции]]/20,0),"")</f>
        <v>7</v>
      </c>
      <c r="R46" s="24">
        <f t="shared" si="0"/>
        <v>5628.7</v>
      </c>
      <c r="S46" s="25">
        <f>IFERROR(Таблица2[[#This Row],[сумма отгрузки план]]/40,"")</f>
        <v>140.7175</v>
      </c>
      <c r="T46" s="15">
        <f>IFERROR(ROUNDUP(Таблица2[[#This Row],[кол-во продукции план]]/20,0),"")</f>
        <v>8</v>
      </c>
    </row>
    <row r="47" ht="28.8" spans="1:20">
      <c r="A47">
        <f>SUBTOTAL(3,C$1:C46)</f>
        <v>46</v>
      </c>
      <c r="B47" s="3">
        <v>884</v>
      </c>
      <c r="C47" s="7" t="s">
        <v>199</v>
      </c>
      <c r="D47" s="14" t="s">
        <v>200</v>
      </c>
      <c r="E47" s="15" t="s">
        <v>201</v>
      </c>
      <c r="F47" t="s">
        <v>113</v>
      </c>
      <c r="H47" s="16" t="s">
        <v>55</v>
      </c>
      <c r="I47" s="26">
        <f>VLOOKUP(Таблица2[[#This Row],[канал сбыта]],справочники!A:D,4,0)</f>
        <v>3</v>
      </c>
      <c r="J47" s="27">
        <f>VLOOKUP(Таблица2[[#This Row],[канал сбыта]],справочники!A:E,5,0)</f>
        <v>0.00486111111111111</v>
      </c>
      <c r="K47" s="28">
        <f>VLOOKUP(Таблица2[[#This Row],[канал сбыта]],справочники!A:E,2,0)</f>
        <v>0.0833333333333333</v>
      </c>
      <c r="L47" s="28">
        <f>VLOOKUP(Таблица2[[#This Row],[канал сбыта]],справочники!A:E,3,0)</f>
        <v>0.958333333333333</v>
      </c>
      <c r="M47" s="22">
        <v>0.46875</v>
      </c>
      <c r="N47" s="23"/>
      <c r="O47" s="24">
        <v>6101</v>
      </c>
      <c r="P47" s="25">
        <f>IFERROR(Таблица2[[#This Row],[сумма отгрузки текущая]]/40,"")</f>
        <v>152.525</v>
      </c>
      <c r="Q47" s="33">
        <f>IFERROR(ROUNDUP(Таблица2[[#This Row],[кол-во ед. продукции]]/20,0),"")</f>
        <v>8</v>
      </c>
      <c r="R47" s="24">
        <f t="shared" si="0"/>
        <v>6711.1</v>
      </c>
      <c r="S47" s="25">
        <f>IFERROR(Таблица2[[#This Row],[сумма отгрузки план]]/40,"")</f>
        <v>167.7775</v>
      </c>
      <c r="T47" s="15">
        <f>IFERROR(ROUNDUP(Таблица2[[#This Row],[кол-во продукции план]]/20,0),"")</f>
        <v>9</v>
      </c>
    </row>
    <row r="48" ht="28.8" spans="1:20">
      <c r="A48">
        <f>SUBTOTAL(3,C$1:C47)</f>
        <v>47</v>
      </c>
      <c r="B48" s="3" t="s">
        <v>202</v>
      </c>
      <c r="C48" s="7" t="s">
        <v>203</v>
      </c>
      <c r="D48" s="14" t="s">
        <v>204</v>
      </c>
      <c r="E48" s="15" t="s">
        <v>205</v>
      </c>
      <c r="F48" t="s">
        <v>113</v>
      </c>
      <c r="H48" s="16" t="s">
        <v>24</v>
      </c>
      <c r="I48" s="26">
        <f>VLOOKUP(Таблица2[[#This Row],[канал сбыта]],справочники!A:D,4,0)</f>
        <v>3</v>
      </c>
      <c r="J48" s="27">
        <f>VLOOKUP(Таблица2[[#This Row],[канал сбыта]],справочники!A:E,5,0)</f>
        <v>0.00347222222222222</v>
      </c>
      <c r="K48" s="28">
        <f>VLOOKUP(Таблица2[[#This Row],[канал сбыта]],справочники!A:E,2,0)</f>
        <v>0.0833333333333333</v>
      </c>
      <c r="L48" s="28">
        <f>VLOOKUP(Таблица2[[#This Row],[канал сбыта]],справочники!A:E,3,0)</f>
        <v>0.958333333333333</v>
      </c>
      <c r="M48" s="22">
        <v>0.479166666666667</v>
      </c>
      <c r="N48" s="23"/>
      <c r="O48" s="24">
        <v>504</v>
      </c>
      <c r="P48" s="25">
        <f>IFERROR(Таблица2[[#This Row],[сумма отгрузки текущая]]/40,"")</f>
        <v>12.6</v>
      </c>
      <c r="Q48" s="33">
        <f>IFERROR(ROUNDUP(Таблица2[[#This Row],[кол-во ед. продукции]]/20,0),"")</f>
        <v>1</v>
      </c>
      <c r="R48" s="24">
        <f t="shared" si="0"/>
        <v>554.4</v>
      </c>
      <c r="S48" s="25">
        <f>IFERROR(Таблица2[[#This Row],[сумма отгрузки план]]/40,"")</f>
        <v>13.86</v>
      </c>
      <c r="T48" s="15">
        <f>IFERROR(ROUNDUP(Таблица2[[#This Row],[кол-во продукции план]]/20,0),"")</f>
        <v>1</v>
      </c>
    </row>
    <row r="49" ht="29.55" spans="1:20">
      <c r="A49">
        <f>SUBTOTAL(3,C$1:C48)</f>
        <v>48</v>
      </c>
      <c r="B49" s="3" t="s">
        <v>206</v>
      </c>
      <c r="C49" s="17" t="s">
        <v>207</v>
      </c>
      <c r="D49" s="18" t="s">
        <v>208</v>
      </c>
      <c r="E49" s="15" t="s">
        <v>209</v>
      </c>
      <c r="F49" t="s">
        <v>113</v>
      </c>
      <c r="H49" s="16" t="s">
        <v>91</v>
      </c>
      <c r="I49" s="26">
        <f>VLOOKUP(Таблица2[[#This Row],[канал сбыта]],справочники!A:D,4,0)</f>
        <v>3</v>
      </c>
      <c r="J49" s="27">
        <f>VLOOKUP(Таблица2[[#This Row],[канал сбыта]],справочники!A:E,5,0)</f>
        <v>0.00486111111111111</v>
      </c>
      <c r="K49" s="28">
        <f>VLOOKUP(Таблица2[[#This Row],[канал сбыта]],справочники!A:E,2,0)</f>
        <v>0.0833333333333333</v>
      </c>
      <c r="L49" s="28">
        <f>VLOOKUP(Таблица2[[#This Row],[канал сбыта]],справочники!A:E,3,0)</f>
        <v>0.958333333333333</v>
      </c>
      <c r="M49" s="22">
        <v>0.489583333333333</v>
      </c>
      <c r="N49" s="23"/>
      <c r="O49" s="24">
        <v>2170</v>
      </c>
      <c r="P49" s="25">
        <f>IFERROR(Таблица2[[#This Row],[сумма отгрузки текущая]]/40,"")</f>
        <v>54.25</v>
      </c>
      <c r="Q49" s="33">
        <f>IFERROR(ROUNDUP(Таблица2[[#This Row],[кол-во ед. продукции]]/20,0),"")</f>
        <v>3</v>
      </c>
      <c r="R49" s="24">
        <f t="shared" si="0"/>
        <v>2387</v>
      </c>
      <c r="S49" s="25">
        <f>IFERROR(Таблица2[[#This Row],[сумма отгрузки план]]/40,"")</f>
        <v>59.675</v>
      </c>
      <c r="T49" s="15">
        <f>IFERROR(ROUNDUP(Таблица2[[#This Row],[кол-во продукции план]]/20,0),"")</f>
        <v>3</v>
      </c>
    </row>
    <row r="50" ht="28.8" spans="1:20">
      <c r="A50" s="10">
        <f>SUBTOTAL(3,C$1:C49)</f>
        <v>49</v>
      </c>
      <c r="B50" s="3" t="s">
        <v>210</v>
      </c>
      <c r="C50" s="7" t="s">
        <v>211</v>
      </c>
      <c r="D50" s="14" t="s">
        <v>212</v>
      </c>
      <c r="E50" s="15" t="s">
        <v>213</v>
      </c>
      <c r="F50" t="s">
        <v>214</v>
      </c>
      <c r="H50" s="19" t="s">
        <v>35</v>
      </c>
      <c r="I50" s="29">
        <f>VLOOKUP(Таблица2[[#This Row],[канал сбыта]],справочники!A:D,4,0)</f>
        <v>1</v>
      </c>
      <c r="J50" s="30">
        <f>VLOOKUP(Таблица2[[#This Row],[канал сбыта]],справочники!A:E,5,0)</f>
        <v>0.00486111111111111</v>
      </c>
      <c r="K50" s="31">
        <f>VLOOKUP(Таблица2[[#This Row],[канал сбыта]],справочники!A:E,2,0)</f>
        <v>0.0833333333333333</v>
      </c>
      <c r="L50" s="31">
        <f>VLOOKUP(Таблица2[[#This Row],[канал сбыта]],справочники!A:E,3,0)</f>
        <v>0.958333333333333</v>
      </c>
      <c r="M50" s="31">
        <v>0.25</v>
      </c>
      <c r="N50" s="32"/>
      <c r="O50" s="24">
        <v>4867</v>
      </c>
      <c r="P50" s="25">
        <f>IFERROR(Таблица2[[#This Row],[сумма отгрузки текущая]]/40,"")</f>
        <v>121.675</v>
      </c>
      <c r="Q50" s="33">
        <f>IFERROR(ROUNDUP(Таблица2[[#This Row],[кол-во ед. продукции]]/20,0),"")</f>
        <v>7</v>
      </c>
      <c r="R50" s="24">
        <f t="shared" si="0"/>
        <v>5353.7</v>
      </c>
      <c r="S50" s="25">
        <f>IFERROR(Таблица2[[#This Row],[сумма отгрузки план]]/40,"")</f>
        <v>133.8425</v>
      </c>
      <c r="T50" s="15">
        <f>IFERROR(ROUNDUP(Таблица2[[#This Row],[кол-во продукции план]]/20,0),"")</f>
        <v>7</v>
      </c>
    </row>
    <row r="51" ht="28.8" spans="1:20">
      <c r="A51" s="10">
        <f>SUBTOTAL(3,C$1:C50)</f>
        <v>50</v>
      </c>
      <c r="B51" s="3" t="s">
        <v>215</v>
      </c>
      <c r="C51" s="7" t="s">
        <v>216</v>
      </c>
      <c r="D51" s="14" t="s">
        <v>217</v>
      </c>
      <c r="E51" s="15" t="s">
        <v>218</v>
      </c>
      <c r="F51" t="s">
        <v>214</v>
      </c>
      <c r="H51" s="19" t="s">
        <v>35</v>
      </c>
      <c r="I51" s="29">
        <f>VLOOKUP(Таблица2[[#This Row],[канал сбыта]],справочники!A:D,4,0)</f>
        <v>1</v>
      </c>
      <c r="J51" s="30">
        <f>VLOOKUP(Таблица2[[#This Row],[канал сбыта]],справочники!A:E,5,0)</f>
        <v>0.00486111111111111</v>
      </c>
      <c r="K51" s="31">
        <f>VLOOKUP(Таблица2[[#This Row],[канал сбыта]],справочники!A:E,2,0)</f>
        <v>0.0833333333333333</v>
      </c>
      <c r="L51" s="31">
        <f>VLOOKUP(Таблица2[[#This Row],[канал сбыта]],справочники!A:E,3,0)</f>
        <v>0.958333333333333</v>
      </c>
      <c r="M51" s="31">
        <v>0.263888888888889</v>
      </c>
      <c r="N51" s="32"/>
      <c r="O51" s="24">
        <v>4965</v>
      </c>
      <c r="P51" s="25">
        <f>IFERROR(Таблица2[[#This Row],[сумма отгрузки текущая]]/40,"")</f>
        <v>124.125</v>
      </c>
      <c r="Q51" s="33">
        <f>IFERROR(ROUNDUP(Таблица2[[#This Row],[кол-во ед. продукции]]/20,0),"")</f>
        <v>7</v>
      </c>
      <c r="R51" s="24">
        <f t="shared" si="0"/>
        <v>5461.5</v>
      </c>
      <c r="S51" s="25">
        <f>IFERROR(Таблица2[[#This Row],[сумма отгрузки план]]/40,"")</f>
        <v>136.5375</v>
      </c>
      <c r="T51" s="15">
        <f>IFERROR(ROUNDUP(Таблица2[[#This Row],[кол-во продукции план]]/20,0),"")</f>
        <v>7</v>
      </c>
    </row>
    <row r="52" ht="28.8" spans="1:20">
      <c r="A52" s="10">
        <f>SUBTOTAL(3,C$1:C51)</f>
        <v>51</v>
      </c>
      <c r="B52" s="3" t="s">
        <v>219</v>
      </c>
      <c r="C52" s="7" t="s">
        <v>220</v>
      </c>
      <c r="D52" s="14" t="s">
        <v>221</v>
      </c>
      <c r="E52" s="15" t="s">
        <v>222</v>
      </c>
      <c r="F52" t="s">
        <v>214</v>
      </c>
      <c r="H52" s="19" t="s">
        <v>24</v>
      </c>
      <c r="I52" s="29">
        <f>VLOOKUP(Таблица2[[#This Row],[канал сбыта]],справочники!A:D,4,0)</f>
        <v>3</v>
      </c>
      <c r="J52" s="30">
        <f>VLOOKUP(Таблица2[[#This Row],[канал сбыта]],справочники!A:E,5,0)</f>
        <v>0.00347222222222222</v>
      </c>
      <c r="K52" s="31">
        <f>VLOOKUP(Таблица2[[#This Row],[канал сбыта]],справочники!A:E,2,0)</f>
        <v>0.0833333333333333</v>
      </c>
      <c r="L52" s="31">
        <f>VLOOKUP(Таблица2[[#This Row],[канал сбыта]],справочники!A:E,3,0)</f>
        <v>0.958333333333333</v>
      </c>
      <c r="M52" s="31">
        <v>0.277777777777778</v>
      </c>
      <c r="N52" s="32"/>
      <c r="O52" s="24">
        <v>673</v>
      </c>
      <c r="P52" s="25">
        <f>IFERROR(Таблица2[[#This Row],[сумма отгрузки текущая]]/40,"")</f>
        <v>16.825</v>
      </c>
      <c r="Q52" s="33">
        <f>IFERROR(ROUNDUP(Таблица2[[#This Row],[кол-во ед. продукции]]/20,0),"")</f>
        <v>1</v>
      </c>
      <c r="R52" s="24">
        <f t="shared" si="0"/>
        <v>740.3</v>
      </c>
      <c r="S52" s="25">
        <f>IFERROR(Таблица2[[#This Row],[сумма отгрузки план]]/40,"")</f>
        <v>18.5075</v>
      </c>
      <c r="T52" s="15">
        <f>IFERROR(ROUNDUP(Таблица2[[#This Row],[кол-во продукции план]]/20,0),"")</f>
        <v>1</v>
      </c>
    </row>
    <row r="53" ht="28.8" spans="1:20">
      <c r="A53" s="10">
        <f>SUBTOTAL(3,C$1:C52)</f>
        <v>52</v>
      </c>
      <c r="B53" s="3" t="s">
        <v>223</v>
      </c>
      <c r="C53" s="7" t="s">
        <v>224</v>
      </c>
      <c r="D53" s="14" t="s">
        <v>225</v>
      </c>
      <c r="E53" s="15" t="s">
        <v>226</v>
      </c>
      <c r="F53" t="s">
        <v>214</v>
      </c>
      <c r="H53" s="19" t="s">
        <v>24</v>
      </c>
      <c r="I53" s="29">
        <f>VLOOKUP(Таблица2[[#This Row],[канал сбыта]],справочники!A:D,4,0)</f>
        <v>3</v>
      </c>
      <c r="J53" s="30">
        <f>VLOOKUP(Таблица2[[#This Row],[канал сбыта]],справочники!A:E,5,0)</f>
        <v>0.00347222222222222</v>
      </c>
      <c r="K53" s="31">
        <f>VLOOKUP(Таблица2[[#This Row],[канал сбыта]],справочники!A:E,2,0)</f>
        <v>0.0833333333333333</v>
      </c>
      <c r="L53" s="31">
        <f>VLOOKUP(Таблица2[[#This Row],[канал сбыта]],справочники!A:E,3,0)</f>
        <v>0.958333333333333</v>
      </c>
      <c r="M53" s="31">
        <v>0.284722222222222</v>
      </c>
      <c r="N53" s="32"/>
      <c r="O53" s="24">
        <v>2548</v>
      </c>
      <c r="P53" s="25">
        <f>IFERROR(Таблица2[[#This Row],[сумма отгрузки текущая]]/40,"")</f>
        <v>63.7</v>
      </c>
      <c r="Q53" s="33">
        <f>IFERROR(ROUNDUP(Таблица2[[#This Row],[кол-во ед. продукции]]/20,0),"")</f>
        <v>4</v>
      </c>
      <c r="R53" s="24">
        <f t="shared" si="0"/>
        <v>2802.8</v>
      </c>
      <c r="S53" s="25">
        <f>IFERROR(Таблица2[[#This Row],[сумма отгрузки план]]/40,"")</f>
        <v>70.07</v>
      </c>
      <c r="T53" s="15">
        <f>IFERROR(ROUNDUP(Таблица2[[#This Row],[кол-во продукции план]]/20,0),"")</f>
        <v>4</v>
      </c>
    </row>
    <row r="54" customFormat="1" ht="14.4" spans="1:20">
      <c r="A54" t="s">
        <v>227</v>
      </c>
      <c r="H54">
        <f>SUBTOTAL(103,Таблица2[канал сбыта])</f>
        <v>52</v>
      </c>
      <c r="I54" s="3"/>
      <c r="J54" s="21">
        <f>SUBTOTAL(101,Таблица2[временной промежуток на разгрузку])</f>
        <v>0.00460737179487179</v>
      </c>
      <c r="K54" s="15"/>
      <c r="L54" s="15"/>
      <c r="M54" s="15"/>
      <c r="N54" s="15"/>
      <c r="O54" s="15"/>
      <c r="P54" s="15"/>
      <c r="Q54" s="15"/>
      <c r="R54" s="24">
        <f>SUBTOTAL(109,Таблица2[сумма отгрузки план])</f>
        <v>174889.033</v>
      </c>
      <c r="S54" s="15"/>
      <c r="T54" s="15">
        <f>SUBTOTAL(109,Таблица2[кол-во ящиков план])</f>
        <v>241</v>
      </c>
    </row>
  </sheetData>
  <dataValidations count="1">
    <dataValidation type="list" allowBlank="1" showInputMessage="1" showErrorMessage="1" sqref="H2:H53">
      <formula1>справочники!$A$1:$A$13</formula1>
    </dataValidation>
  </dataValidations>
  <pageMargins left="0.7" right="0.7" top="0.75" bottom="0.75" header="0.3" footer="0.3"/>
  <pageSetup paperSize="9" orientation="portrait"/>
  <headerFooter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9"/>
  <sheetViews>
    <sheetView workbookViewId="0">
      <selection activeCell="D17" sqref="D17"/>
    </sheetView>
  </sheetViews>
  <sheetFormatPr defaultColWidth="9" defaultRowHeight="14.4" outlineLevelCol="7"/>
  <cols>
    <col min="1" max="1" width="19.1111111111111" customWidth="1"/>
    <col min="2" max="2" width="12.5555555555556" customWidth="1"/>
    <col min="3" max="3" width="11.3333333333333" customWidth="1"/>
    <col min="4" max="4" width="12.6666666666667" customWidth="1"/>
    <col min="5" max="5" width="13.6666666666667" customWidth="1"/>
    <col min="7" max="7" width="11.5555555555556" customWidth="1"/>
  </cols>
  <sheetData>
    <row r="1" ht="57.6" spans="1:8">
      <c r="A1" t="s">
        <v>228</v>
      </c>
      <c r="B1" s="1" t="s">
        <v>10</v>
      </c>
      <c r="C1" s="1" t="s">
        <v>11</v>
      </c>
      <c r="D1" s="1" t="s">
        <v>8</v>
      </c>
      <c r="E1" s="1" t="s">
        <v>229</v>
      </c>
      <c r="G1" s="1" t="s">
        <v>230</v>
      </c>
      <c r="H1" s="1" t="s">
        <v>231</v>
      </c>
    </row>
    <row r="2" spans="1:8">
      <c r="A2" t="s">
        <v>55</v>
      </c>
      <c r="B2" s="2">
        <v>0.0833333333333333</v>
      </c>
      <c r="C2" s="2">
        <v>0.958333333333333</v>
      </c>
      <c r="D2" s="3">
        <v>3</v>
      </c>
      <c r="E2" s="4">
        <v>0.00486111111111111</v>
      </c>
      <c r="G2" s="5">
        <v>40</v>
      </c>
      <c r="H2" s="6">
        <v>20</v>
      </c>
    </row>
    <row r="3" spans="1:5">
      <c r="A3" t="s">
        <v>130</v>
      </c>
      <c r="B3" s="2">
        <v>0.0833333333333333</v>
      </c>
      <c r="C3" s="2">
        <v>0.958333333333333</v>
      </c>
      <c r="D3" s="3">
        <v>2</v>
      </c>
      <c r="E3" s="4">
        <v>0.0138888888888889</v>
      </c>
    </row>
    <row r="4" spans="1:5">
      <c r="A4" t="s">
        <v>91</v>
      </c>
      <c r="B4" s="2">
        <v>0.0833333333333333</v>
      </c>
      <c r="C4" s="2">
        <v>0.958333333333333</v>
      </c>
      <c r="D4" s="3">
        <v>3</v>
      </c>
      <c r="E4" s="4">
        <v>0.00486111111111111</v>
      </c>
    </row>
    <row r="5" spans="1:5">
      <c r="A5" t="s">
        <v>232</v>
      </c>
      <c r="B5" s="2">
        <v>0.0833333333333333</v>
      </c>
      <c r="C5" s="2">
        <v>0.958333333333333</v>
      </c>
      <c r="D5" s="3">
        <v>3</v>
      </c>
      <c r="E5" s="4">
        <v>0.0104166666666667</v>
      </c>
    </row>
    <row r="6" spans="1:5">
      <c r="A6" t="s">
        <v>63</v>
      </c>
      <c r="B6" s="2">
        <v>0.0833333333333333</v>
      </c>
      <c r="C6" s="2">
        <v>0.958333333333333</v>
      </c>
      <c r="D6" s="3">
        <v>3</v>
      </c>
      <c r="E6" s="4">
        <v>0.00694444444444444</v>
      </c>
    </row>
    <row r="7" spans="1:5">
      <c r="A7" t="s">
        <v>24</v>
      </c>
      <c r="B7" s="2">
        <v>0.0833333333333333</v>
      </c>
      <c r="C7" s="2">
        <v>0.958333333333333</v>
      </c>
      <c r="D7" s="3">
        <v>3</v>
      </c>
      <c r="E7" s="4">
        <v>0.00347222222222222</v>
      </c>
    </row>
    <row r="8" spans="1:5">
      <c r="A8" t="s">
        <v>35</v>
      </c>
      <c r="B8" s="2">
        <v>0.0833333333333333</v>
      </c>
      <c r="C8" s="2">
        <v>0.958333333333333</v>
      </c>
      <c r="D8" s="3">
        <v>1</v>
      </c>
      <c r="E8" s="4">
        <v>0.00486111111111111</v>
      </c>
    </row>
    <row r="9" spans="1:5">
      <c r="A9" t="s">
        <v>51</v>
      </c>
      <c r="B9" s="2">
        <v>0.0833333333333333</v>
      </c>
      <c r="C9" s="2">
        <v>0.958333333333333</v>
      </c>
      <c r="D9" s="3">
        <v>3</v>
      </c>
      <c r="E9" s="4">
        <v>0.00486111111111111</v>
      </c>
    </row>
    <row r="10" spans="1:5">
      <c r="A10" t="s">
        <v>233</v>
      </c>
      <c r="B10" s="2">
        <v>0.0833333333333333</v>
      </c>
      <c r="C10" s="2">
        <v>0.958333333333333</v>
      </c>
      <c r="D10" s="3">
        <v>3</v>
      </c>
      <c r="E10" s="4">
        <v>0.00486111111111111</v>
      </c>
    </row>
    <row r="11" spans="1:5">
      <c r="A11" t="s">
        <v>234</v>
      </c>
      <c r="B11" s="2">
        <v>0.0833333333333333</v>
      </c>
      <c r="C11" s="2">
        <v>0.958333333333333</v>
      </c>
      <c r="D11" s="3">
        <v>3</v>
      </c>
      <c r="E11" s="4">
        <v>0.00486111111111111</v>
      </c>
    </row>
    <row r="12" spans="1:5">
      <c r="A12" t="s">
        <v>108</v>
      </c>
      <c r="B12" s="2">
        <v>0.0833333333333333</v>
      </c>
      <c r="C12" s="2">
        <v>0.958333333333333</v>
      </c>
      <c r="D12" s="3">
        <v>3</v>
      </c>
      <c r="E12" s="4">
        <v>0.00486111111111111</v>
      </c>
    </row>
    <row r="13" spans="1:5">
      <c r="A13" t="s">
        <v>235</v>
      </c>
      <c r="B13" s="2">
        <v>0.0833333333333333</v>
      </c>
      <c r="C13" s="2">
        <v>0.958333333333333</v>
      </c>
      <c r="D13" s="3">
        <v>2</v>
      </c>
      <c r="E13" s="4">
        <v>0.0138888888888889</v>
      </c>
    </row>
    <row r="17" spans="1:2">
      <c r="A17" s="7" t="s">
        <v>236</v>
      </c>
      <c r="B17" s="8" t="s">
        <v>237</v>
      </c>
    </row>
    <row r="18" spans="1:2">
      <c r="A18" s="7" t="s">
        <v>238</v>
      </c>
      <c r="B18" s="8" t="s">
        <v>239</v>
      </c>
    </row>
    <row r="19" spans="1:2">
      <c r="A19" s="7" t="s">
        <v>240</v>
      </c>
      <c r="B19" s="8" t="s">
        <v>241</v>
      </c>
    </row>
  </sheetData>
  <pageMargins left="0.7" right="0.7" top="0.75" bottom="0.75" header="0.3" footer="0.3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рабочее окно</vt:lpstr>
      <vt:lpstr>справочники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Захаров</dc:creator>
  <cp:lastModifiedBy>Oksana</cp:lastModifiedBy>
  <dcterms:created xsi:type="dcterms:W3CDTF">2015-06-05T18:19:00Z</dcterms:created>
  <dcterms:modified xsi:type="dcterms:W3CDTF">2026-04-08T08:15:24Z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7F24A6C5241643F1A97D283CEF5AAD2A_12</vt:lpwstr>
  </property>
  <property fmtid="{D5CDD505-2E9C-101B-9397-08002B2CF9AE}" pid="3" name="KSOProductBuildVer">
    <vt:lpwstr>1049-12.2.0.23196</vt:lpwstr>
  </property>
</Properties>
</file>