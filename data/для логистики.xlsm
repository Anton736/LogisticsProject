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3040" windowHeight="9180" activeTab="1"/>
  </bookViews>
  <sheets>
    <sheet name="рабочее окно" sheetId="1" r:id="rId1"/>
    <sheet name="справочники" sheetId="2" r:id="rId2"/>
  </sheet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Захаров-ПК</author>
  </authors>
  <commentList>
    <comment ref="H1" authorId="0">
      <text>
        <r>
          <rPr>
            <b/>
            <sz val="9"/>
            <rFont val="Tahoma"/>
            <charset val="204"/>
          </rPr>
          <t>выбрать из выпадающего списка
(в дальнейшем - выгрузка из 1С</t>
        </r>
      </text>
    </comment>
    <comment ref="I1" authorId="0">
      <text>
        <r>
          <rPr>
            <b/>
            <sz val="9"/>
            <rFont val="Tahoma"/>
            <charset val="204"/>
          </rPr>
          <t xml:space="preserve">на основе данных справочника
</t>
        </r>
      </text>
    </comment>
  </commentList>
</comments>
</file>

<file path=xl/sharedStrings.xml><?xml version="1.0" encoding="utf-8"?>
<sst xmlns="http://schemas.openxmlformats.org/spreadsheetml/2006/main" count="1059" uniqueCount="707">
  <si>
    <t>№</t>
  </si>
  <si>
    <t>Код</t>
  </si>
  <si>
    <t>название тт</t>
  </si>
  <si>
    <t>адрес тт</t>
  </si>
  <si>
    <t>Координаты+</t>
  </si>
  <si>
    <t>текущий маршрут</t>
  </si>
  <si>
    <t>маршрут новый</t>
  </si>
  <si>
    <t>канал сбыта</t>
  </si>
  <si>
    <t>приоритет доставки</t>
  </si>
  <si>
    <t>временной промежуток на разгрузку</t>
  </si>
  <si>
    <t>окно доставки с</t>
  </si>
  <si>
    <t>окно доставки по</t>
  </si>
  <si>
    <t>время доставки текущее</t>
  </si>
  <si>
    <t>время доставки план</t>
  </si>
  <si>
    <t>сумма отгрузки текущая</t>
  </si>
  <si>
    <t>кол-во ед. продукции</t>
  </si>
  <si>
    <t>кол-во ящиков текущее</t>
  </si>
  <si>
    <t>сумма отгрузки план</t>
  </si>
  <si>
    <t>кол-во продукции план</t>
  </si>
  <si>
    <t>кол-во ящиков план</t>
  </si>
  <si>
    <t>Овчаренко маг Мясной</t>
  </si>
  <si>
    <t>,352900,Краснодарский край,,Армавир г,,Мира (киоск 521),63,,</t>
  </si>
  <si>
    <t>44.995016, 41.131611</t>
  </si>
  <si>
    <t>01 маршрут  Армавир</t>
  </si>
  <si>
    <t>розница</t>
  </si>
  <si>
    <t>Pd073020</t>
  </si>
  <si>
    <t>Овчаренко И.А Л.Новый</t>
  </si>
  <si>
    <t>,352925,Краснодарский край,,Армавир г,,Центральный рынок,,,</t>
  </si>
  <si>
    <t>44.995023, 41.131108</t>
  </si>
  <si>
    <t>Овчаренко маг Овощи</t>
  </si>
  <si>
    <t>,352900,Краснодарский край,,Армавир г,,Мира (киоск 157),63,,</t>
  </si>
  <si>
    <t>Pk000463</t>
  </si>
  <si>
    <t>ГБУЗ Инфекционная больница № 4</t>
  </si>
  <si>
    <t>,352919,Краснодарский край,,Армавир г,,Пугачева ул,7,,</t>
  </si>
  <si>
    <t>44.993563, 41.147296</t>
  </si>
  <si>
    <t>бюджет</t>
  </si>
  <si>
    <t>Pk002673</t>
  </si>
  <si>
    <t>Мельников А В</t>
  </si>
  <si>
    <t>,352942,Краснодарский край,,Армавир г,,Ленина ул,274/А,,</t>
  </si>
  <si>
    <t>44.985595, 41.153656</t>
  </si>
  <si>
    <t>Нагорнов маг "Продукты"</t>
  </si>
  <si>
    <t>,352470,Краснодарский край,Успенский р-н,,Дивный п,Урупская ул,1,3,</t>
  </si>
  <si>
    <t>44.936575, 41.166690</t>
  </si>
  <si>
    <t>Pf003541</t>
  </si>
  <si>
    <t>Арутюнян Д.З.</t>
  </si>
  <si>
    <t>,352942,Краснодарский край,,Армавир г,,Ленина ул,444,,</t>
  </si>
  <si>
    <t>44.976924, 41.168873</t>
  </si>
  <si>
    <t>Pc072985</t>
  </si>
  <si>
    <t>ООО "ТК Лето" МП23 АРМ Мира</t>
  </si>
  <si>
    <t>,352942,Краснодарский край,,Армавир г,,Мира ул,дом 74,корпус А,</t>
  </si>
  <si>
    <t>44.978327, 41.160474</t>
  </si>
  <si>
    <t>ТС Победа</t>
  </si>
  <si>
    <t>АО "Тандер", ММ "Вексель"(А)</t>
  </si>
  <si>
    <t>,352942,Краснодарский край,,Армавир г,,Ленина ул,306,,</t>
  </si>
  <si>
    <t>44.983408, 41.157492</t>
  </si>
  <si>
    <t>ТС Магнит ММ</t>
  </si>
  <si>
    <t>Pk2265</t>
  </si>
  <si>
    <t>АО "Тандер", ММ "Арсис"</t>
  </si>
  <si>
    <t>,352942,Краснодарский край,,Армавир г,,Ленина ул,268,,</t>
  </si>
  <si>
    <t>44.986015, 41.152793</t>
  </si>
  <si>
    <t>PkО74516</t>
  </si>
  <si>
    <t>АО "ПРОДТОРГ" Ч23198 Армавир Мира 61</t>
  </si>
  <si>
    <t>,352900,Краснодарский край,,г.Армавир,,Мира ул,дом 61, ,</t>
  </si>
  <si>
    <t>ТС Чижик</t>
  </si>
  <si>
    <t>Паршин С И маг 101</t>
  </si>
  <si>
    <t>,352919,Краснодарский край,,Армавир г,,Кочубея ул,18,,</t>
  </si>
  <si>
    <t>44.989158, 41.156135</t>
  </si>
  <si>
    <t>PkО74436</t>
  </si>
  <si>
    <t>Фрешмаркет Ленина 210</t>
  </si>
  <si>
    <t>,352919, Краснодарский край,, г Армавир, ул Ленина, д. 210</t>
  </si>
  <si>
    <t>44.989152, 41.147511</t>
  </si>
  <si>
    <t>Pk2390</t>
  </si>
  <si>
    <t>АО "Тандер", ММ "Викунья Демикатон"(А)</t>
  </si>
  <si>
    <t>,352919,Краснодарский край,,Армавир г,,Ленина ул,176,А,</t>
  </si>
  <si>
    <t>44.990395, 41.144906</t>
  </si>
  <si>
    <t>Р0000052</t>
  </si>
  <si>
    <t>Фрешмаркет Пугачева</t>
  </si>
  <si>
    <t>,352919,Краснодарский край,,Армавир г,,Пугачева ул,9,,</t>
  </si>
  <si>
    <t>44.992894, 41.146703</t>
  </si>
  <si>
    <t>Pd073128</t>
  </si>
  <si>
    <t>АО "Тандер", ММ "Кроноцкая"(А)</t>
  </si>
  <si>
    <t>,352909,Краснодарский край,,Армавир г,,Р.Люксембург ул,215,,</t>
  </si>
  <si>
    <t>44.998923, 41.139786</t>
  </si>
  <si>
    <t>Т0000032</t>
  </si>
  <si>
    <t>Кредо Розы Люксембург б/н Маршрут 1</t>
  </si>
  <si>
    <t>,352900,Краснодарский край,,Армавир г,,Р.Люксембург ул,дом 207, ,</t>
  </si>
  <si>
    <t>44.999236, 41.138681</t>
  </si>
  <si>
    <t>PkО73829</t>
  </si>
  <si>
    <t>Агроторг ООО № 26487</t>
  </si>
  <si>
    <t>,352900, Краснодарский край,, г.о. город Армавир, г Армавир, ул Розы Люксембург, д. 148,,</t>
  </si>
  <si>
    <t>45.000090, 41.134108</t>
  </si>
  <si>
    <t>ТС Пятёрочка</t>
  </si>
  <si>
    <t>Pr074920</t>
  </si>
  <si>
    <t>АО "ПРОДТОРГ" Ч23278 Армавир Урицкого 1А</t>
  </si>
  <si>
    <t>,352909,Краснодарский край,,Армавир г,,Урицкого ул,дом 1А, ,</t>
  </si>
  <si>
    <t>45.001658, 41.141367</t>
  </si>
  <si>
    <t>PkО73574</t>
  </si>
  <si>
    <t>АО "Тандер", ММ "Альмагор"</t>
  </si>
  <si>
    <t>,352909, Краснодарский край,, г.о. город Армавир, г Армавир, ул Мира, д. 50,,</t>
  </si>
  <si>
    <t>44.988833, 41.140271</t>
  </si>
  <si>
    <t>Pi000208</t>
  </si>
  <si>
    <t>АО "Тандер", ММ "Раскопка"</t>
  </si>
  <si>
    <t>,352909,Краснодарский край,,Армавир г,,Урицкого ул,83,,</t>
  </si>
  <si>
    <t>44.992333, 41.135653</t>
  </si>
  <si>
    <t>PkО74201</t>
  </si>
  <si>
    <t>ООО "Атлас" №6986</t>
  </si>
  <si>
    <t>,352919, Краснодарский край,, г.о. город Армавир, г Армавир, ул Мира, Дом 74,,</t>
  </si>
  <si>
    <t>44.978913, 41.159333</t>
  </si>
  <si>
    <t>ТС Красное и Белое</t>
  </si>
  <si>
    <t>Pr074793</t>
  </si>
  <si>
    <t>ООО "Шаг" № 15</t>
  </si>
  <si>
    <t xml:space="preserve"> Краснодарский край, г. Армавир, ул. Советской Армии, 56</t>
  </si>
  <si>
    <t>44.992569, 41.091564</t>
  </si>
  <si>
    <t>03 маршрут Армавир</t>
  </si>
  <si>
    <t>Pk2374</t>
  </si>
  <si>
    <t>Отдел № 7 г. Армавир, Пионерская</t>
  </si>
  <si>
    <t>,352942,Краснодарский край,,Армавир г,,Пионерская ул,56,,</t>
  </si>
  <si>
    <t>44.992964, 41.083066</t>
  </si>
  <si>
    <t>Pk002089</t>
  </si>
  <si>
    <t>Отдел № 4 г. Армавир  Новороссийская, 145 Доверие</t>
  </si>
  <si>
    <t>,352923,Краснодарский край,,Армавир г,,Новороссийская ул,145,,</t>
  </si>
  <si>
    <t>44.993257, 41.081341</t>
  </si>
  <si>
    <t>Pk087903</t>
  </si>
  <si>
    <t>ГБУЗ АПТД МЗ КК</t>
  </si>
  <si>
    <t>,352900,Краснодарский край,,Армавир г,,Ефремова ул,254,,</t>
  </si>
  <si>
    <t>44.983854, 41.082347</t>
  </si>
  <si>
    <t>Pk060452</t>
  </si>
  <si>
    <t>АО "Тандер" ГМ Армавир Воровского</t>
  </si>
  <si>
    <t>,352922,Краснодарский край,,Армавир г,,Воровского ул,69,,</t>
  </si>
  <si>
    <t>44.983300, 41.096747</t>
  </si>
  <si>
    <t>ТС Магнит ГМ</t>
  </si>
  <si>
    <t>PgO00300</t>
  </si>
  <si>
    <t>ИП СКОБОТКОВ А. А.  Чс садик</t>
  </si>
  <si>
    <t>,,краснодарский,,армавир,,чкалова,161,,</t>
  </si>
  <si>
    <t>44.993996, 41.095193</t>
  </si>
  <si>
    <t>АО "Тандер", ММ "Майк"(А)</t>
  </si>
  <si>
    <t>,352900,Краснодарский край,,Армавир г,,Советской Армии ул,36,1,</t>
  </si>
  <si>
    <t>44.993786, 41.089444</t>
  </si>
  <si>
    <t>Pk0011</t>
  </si>
  <si>
    <t>ООО "Шаг" № 3</t>
  </si>
  <si>
    <t>,352922,Краснодарский край,,Армавир г,,Новороссийская ул,68,,</t>
  </si>
  <si>
    <t>44.993378, 41.077847</t>
  </si>
  <si>
    <t>PkО73526</t>
  </si>
  <si>
    <t>АО "ПРОДТОРГ" Ч23133 Армавир Краснофлотск76</t>
  </si>
  <si>
    <t>,352923, Краснодарский край,, г Армавир, ,ул Краснофлотская, д. 76,,</t>
  </si>
  <si>
    <t>44.990401, 41.075386</t>
  </si>
  <si>
    <t>Pd073227</t>
  </si>
  <si>
    <t>Агроторг ООО № 20609</t>
  </si>
  <si>
    <t>,352900,Краснодарский край,,Армавир г,,Новороссийская ул,147А,,</t>
  </si>
  <si>
    <t>44.991587, 41.075412</t>
  </si>
  <si>
    <t>Pr074794</t>
  </si>
  <si>
    <t>ООО "Шаг" №18</t>
  </si>
  <si>
    <t>Краснодарский край., Армавир, ул. Новороссийская, 76</t>
  </si>
  <si>
    <t>44.991000, 41.071406</t>
  </si>
  <si>
    <t>Pk2388</t>
  </si>
  <si>
    <t>АО "Тандер", ММ "Иолан"(А)</t>
  </si>
  <si>
    <t>,352900,Краснодарский край,,Армавир г,,Новороссийская ул,100,,</t>
  </si>
  <si>
    <t>44.989930, 41.065809</t>
  </si>
  <si>
    <t>Pr000210</t>
  </si>
  <si>
    <t>Агроторг ООО № 15536</t>
  </si>
  <si>
    <t>,352924,Краснодарский край,,Армавир г,,Новороссийская ул,137,А,</t>
  </si>
  <si>
    <t>44.994481, 41.083470</t>
  </si>
  <si>
    <t>PkО74370</t>
  </si>
  <si>
    <t>ООО "Шаг" № 35</t>
  </si>
  <si>
    <t>,352922, Краснодарский край,, г.о. город Армавир, г Армавир, ул 30 лет Победы, д. 17,,</t>
  </si>
  <si>
    <t>44.997974, 41.082572</t>
  </si>
  <si>
    <t>Т0000017</t>
  </si>
  <si>
    <t>Фрешмаркет Советской Армии 18а</t>
  </si>
  <si>
    <t>,352922,Краснодарский край,,Армавир г,,Советской Армии ул,18а,,</t>
  </si>
  <si>
    <t>44.996884, 41.085186</t>
  </si>
  <si>
    <t>Pi073259</t>
  </si>
  <si>
    <t>АО "ПРОДТОРГ" Ч23043 Армавир Новороссийск127</t>
  </si>
  <si>
    <t>,352924,Краснодарский край,,Армавир г,,Новороссийская ул,127,,</t>
  </si>
  <si>
    <t>44.994978, 41.086704</t>
  </si>
  <si>
    <t>Pk2393</t>
  </si>
  <si>
    <t>АО "Тандер", ММ "Океанида"(А)</t>
  </si>
  <si>
    <t>,352922,Краснодарский край,,Армавир г,,Новороссийская ул,115,,</t>
  </si>
  <si>
    <t>44.996291, 41.088016</t>
  </si>
  <si>
    <t>Pk0016</t>
  </si>
  <si>
    <t>ООО "Шаг" № 14</t>
  </si>
  <si>
    <t>,352919,Краснодарский край,,Армавир г,,Ленина ул,210,,</t>
  </si>
  <si>
    <t>Т0000023</t>
  </si>
  <si>
    <t>Фрешмаркет Кропоткина</t>
  </si>
  <si>
    <t>,352913,Краснодарский край,,Армавир г,,Кропоткина ул,56,,</t>
  </si>
  <si>
    <t>44.997604, 41.094331</t>
  </si>
  <si>
    <t>Pf000092</t>
  </si>
  <si>
    <t>ООО "Шаг" №27</t>
  </si>
  <si>
    <t>,352900,Краснодарский край,,Армавир г,,Шмидта ул,107,,</t>
  </si>
  <si>
    <t>44.996444, 41.092543</t>
  </si>
  <si>
    <t>PkО74194</t>
  </si>
  <si>
    <t>ООО "Атлас" №6735</t>
  </si>
  <si>
    <t>,352922, Краснодарский край,, г.о. город Армавир, г Армавир, ул Шмидта, д. 125,,</t>
  </si>
  <si>
    <t>44.994953, 41.090001</t>
  </si>
  <si>
    <t>PkО74191</t>
  </si>
  <si>
    <t>ООО "Атлас" №6601</t>
  </si>
  <si>
    <t>Pb072994</t>
  </si>
  <si>
    <t>АО "Тандер", ММ "Кальвиль"</t>
  </si>
  <si>
    <t>,352932,Краснодарский край,,Армавир г,,Советской Армии ул,128,,</t>
  </si>
  <si>
    <t>44.988374, 41.099658</t>
  </si>
  <si>
    <t>АО "Тандер", ММ "Орленок"(А)</t>
  </si>
  <si>
    <t>,352900,Краснодарский край,,Армавир г,,Ефремова ул,123,,</t>
  </si>
  <si>
    <t>44.990242, 41.101383</t>
  </si>
  <si>
    <t>Т0000034</t>
  </si>
  <si>
    <t>Кредо Сенной б/н Маршрут 2</t>
  </si>
  <si>
    <t>,352900,Краснодарский край,,Армавир г,,Ефремова ул,123/1,,</t>
  </si>
  <si>
    <t>улица Ефремова, 123</t>
  </si>
  <si>
    <t>Pf003307</t>
  </si>
  <si>
    <t>Агроторг ООО № 21231</t>
  </si>
  <si>
    <t>,352932,Краснодарский край,,Армавир г,,Ефремова ул,230,,</t>
  </si>
  <si>
    <t>44.990095, 41.098670</t>
  </si>
  <si>
    <t>Pk001375</t>
  </si>
  <si>
    <t>Отдел № 6 г. Армавир Новороссийская 163 ДИПИ</t>
  </si>
  <si>
    <t>,352930,Краснодарский край,,Армавир г,,Новороссийская ул,163,,</t>
  </si>
  <si>
    <t>44.988004, 41.065414</t>
  </si>
  <si>
    <t>05 маршрут Армавир</t>
  </si>
  <si>
    <t>Pk001374</t>
  </si>
  <si>
    <t>Отдел № 2 г. Армавир ул.Азовская,34 ДИПИ</t>
  </si>
  <si>
    <t>,352900,Краснодарский край,,Армавир г,,Азовская ул,34,,</t>
  </si>
  <si>
    <t>44.986666, 41.066816</t>
  </si>
  <si>
    <t>Pk002590</t>
  </si>
  <si>
    <t>Арзуманян А.Р маг Радуга</t>
  </si>
  <si>
    <t>,352930,Краснодарский край,,Армавир г,,Новороссийская ул,171,1,</t>
  </si>
  <si>
    <t>44.987023, 41.061875</t>
  </si>
  <si>
    <t>Pi073207</t>
  </si>
  <si>
    <t>ООО "Шаг" № 37</t>
  </si>
  <si>
    <t>,352942,Краснодарский край,,Армавир г,,Каспарова ул/Малиновая ул,,,</t>
  </si>
  <si>
    <t>44.984498, 41.064929</t>
  </si>
  <si>
    <t>Pd072962</t>
  </si>
  <si>
    <t>АО "Тандер", ММ "Телекинез"</t>
  </si>
  <si>
    <t>,352207,Краснодарский край,Новокубанский р-н,,Глубокий п,Крупской ул,26,,</t>
  </si>
  <si>
    <t>44.942981, 41.018118</t>
  </si>
  <si>
    <t>Pc072987</t>
  </si>
  <si>
    <t>Рядом № 15</t>
  </si>
  <si>
    <t>,352207,Краснодарский край,Новокубанский р-н,,Глубокий п,Чехова ул,6 В,,</t>
  </si>
  <si>
    <t>44.948480, 41.021046</t>
  </si>
  <si>
    <t>Кирносова В.А маг Копеечка</t>
  </si>
  <si>
    <t>,352925,Краснодарский край,,Армавир г,свх Восток п,Раздольная ул,8,,</t>
  </si>
  <si>
    <t>45.004901, 41.041034</t>
  </si>
  <si>
    <t>Максимчук  Магнолия</t>
  </si>
  <si>
    <t>Pk009770</t>
  </si>
  <si>
    <t>АО "Тандер", ММ "Виртуальный"(А)</t>
  </si>
  <si>
    <t>,352913,Краснодарский край,,Армавир г,,Новороссийская ул,88,1,</t>
  </si>
  <si>
    <t>44.990293, 41.069421</t>
  </si>
  <si>
    <t>PkО74474</t>
  </si>
  <si>
    <t>Агроторг ООО №30363</t>
  </si>
  <si>
    <t>,352913, Краснодарский край,, г.Армавир,, Азовская ул, 11,,</t>
  </si>
  <si>
    <t>44.989745, 41.065926</t>
  </si>
  <si>
    <t>Pr074926</t>
  </si>
  <si>
    <t>АО "ПРОДТОРГ" Ч23279 Армавир Азовская 28</t>
  </si>
  <si>
    <t>,352930,Краснодарский край,,Армавир г,,Азовская ул,дом 28, ,</t>
  </si>
  <si>
    <t>44.990777, 41.064004</t>
  </si>
  <si>
    <t>Pd073061</t>
  </si>
  <si>
    <t>Агроторг ООО № 18763</t>
  </si>
  <si>
    <t>,352930,Краснодарский край,,Армавир г,,Новороссийская ул,108,,</t>
  </si>
  <si>
    <t>44.987743, 41.061012</t>
  </si>
  <si>
    <t>Pk0026</t>
  </si>
  <si>
    <t>Клевойчук Диана</t>
  </si>
  <si>
    <t>Р0000017</t>
  </si>
  <si>
    <t>Фрешмаркет Каспарова</t>
  </si>
  <si>
    <t>,352930,Краснодарский край,,Армавир г,,Каспарова ул,65б,,</t>
  </si>
  <si>
    <t>44.981055, 41.072259</t>
  </si>
  <si>
    <t>Pt000127</t>
  </si>
  <si>
    <t>Агроторг ООО № 12054</t>
  </si>
  <si>
    <t>,352930,Краснодарский край,,Армавир г,,Каспарова ул,45,А,</t>
  </si>
  <si>
    <t>44.984658, 41.065998</t>
  </si>
  <si>
    <t>Pk002539</t>
  </si>
  <si>
    <t>АО "Тандер", ММ "Планомерный"(А)</t>
  </si>
  <si>
    <t>,352930,Краснодарский край,,Армавир г,,Каспарова ул,23,1,</t>
  </si>
  <si>
    <t>44.986168, 41.060959</t>
  </si>
  <si>
    <t>PkО73522</t>
  </si>
  <si>
    <t>АО "ПРОДТОРГ" Ч23122 Армавир Каспарова 23/1</t>
  </si>
  <si>
    <t>,352930, Краснодарский край,, г.о. город Армавир, г Армавир, ул Каспарова, д. 23/1,,</t>
  </si>
  <si>
    <t>PkО74367</t>
  </si>
  <si>
    <t>ООО "Шаг" № 29</t>
  </si>
  <si>
    <t>,352930, Краснодарский край,, г.о. город Армавир, г Армавир, ул Новороссийская, д. 171А,,</t>
  </si>
  <si>
    <t>44.986806, 41.062800</t>
  </si>
  <si>
    <t>Pr074791</t>
  </si>
  <si>
    <t>ООО "Шаг" №7</t>
  </si>
  <si>
    <t>Краснодарский край., Армавир, ул. Маркова, 351</t>
  </si>
  <si>
    <t>44.992059, 41.057006</t>
  </si>
  <si>
    <t>PkО72805</t>
  </si>
  <si>
    <t>Агроторг ООО № 8112</t>
  </si>
  <si>
    <t>,352930,Краснодарский край,,Армавир г,,Маркова ул,345,,</t>
  </si>
  <si>
    <t>44.992390, 41.058138</t>
  </si>
  <si>
    <t>PkО74207</t>
  </si>
  <si>
    <t>ООО "Атлас" №7128</t>
  </si>
  <si>
    <t>,352930, Краснодарский край,, г Армавир, ,ул Маркова, д. 343,,</t>
  </si>
  <si>
    <t>44.992734, 41.059252</t>
  </si>
  <si>
    <t>Т0000013</t>
  </si>
  <si>
    <t>Кредо маг От и До б/н Маршрут  5</t>
  </si>
  <si>
    <t>,352930,Краснодарский край,,Армавир г,,Азовская ул,12,,</t>
  </si>
  <si>
    <t>44.992008, 41.063088</t>
  </si>
  <si>
    <t>Pk2554</t>
  </si>
  <si>
    <t>АО "Тандер", ММ "Страна"(А)</t>
  </si>
  <si>
    <t>,352913,Краснодарский край,,Армавир г,,Азовская ул,1,1,</t>
  </si>
  <si>
    <t>44.993321, 41.063375</t>
  </si>
  <si>
    <t>PkО74152</t>
  </si>
  <si>
    <t>ООО "АЛЬФА-М" №23759</t>
  </si>
  <si>
    <t>,352913, Краснодарский край,, г Армавир, ,ул Маркова, д. 78а,,</t>
  </si>
  <si>
    <t>44.995539, 41.068585</t>
  </si>
  <si>
    <t>Pk0015</t>
  </si>
  <si>
    <t>ООО "Шаг" № 12</t>
  </si>
  <si>
    <t>,352913,Краснодарский край,,Армавир г,,Новосочинский проезд,4,,</t>
  </si>
  <si>
    <t>44.994245, 41.067777</t>
  </si>
  <si>
    <t>Pr074790</t>
  </si>
  <si>
    <t>ООО "Шаг" № 6</t>
  </si>
  <si>
    <t>Краснодарский край., Армавир, ул. Сочинская, 74</t>
  </si>
  <si>
    <t>44.984479, 41.074020</t>
  </si>
  <si>
    <t>Шустова М.Д  Магазин 24 часа</t>
  </si>
  <si>
    <t>,352905, Краснодарский край, , Армавир г, Урицкого ул, д. 121</t>
  </si>
  <si>
    <t>44.987450, 41.132662</t>
  </si>
  <si>
    <t>06 маршрут Армавир</t>
  </si>
  <si>
    <t>PkО74369</t>
  </si>
  <si>
    <t>ООО "Шаг" № 34</t>
  </si>
  <si>
    <t>,352902, Краснодарский край,, г.о. город Армавир, г Армавир, ул Лавриненко, д. 66,,</t>
  </si>
  <si>
    <t>44.975751, 41.148715</t>
  </si>
  <si>
    <t>Нестеренко Ватный переезд</t>
  </si>
  <si>
    <t>,352900,Краснодарский край,,Армавир г,,Желябова ул,1,,</t>
  </si>
  <si>
    <t>44.985767, 41.143110</t>
  </si>
  <si>
    <t>PO000001</t>
  </si>
  <si>
    <t>Бондарь Н.Н. маг Эдем</t>
  </si>
  <si>
    <t>352900, Краснодарский край, Армавир, микрорайон Мясокомбинат, 7</t>
  </si>
  <si>
    <t>44.975878, 41.154473</t>
  </si>
  <si>
    <t>6 маршрут Армавир</t>
  </si>
  <si>
    <t>PkО73834</t>
  </si>
  <si>
    <t>Агроторг ООО № 26735</t>
  </si>
  <si>
    <t>,352902, Краснодарский край,, г.о. город Армавир, г Армавир, ул Лавриненко, д. 2а,,</t>
  </si>
  <si>
    <t>44.977644, 41.152712</t>
  </si>
  <si>
    <t>PkО73539</t>
  </si>
  <si>
    <t>АО "ПРОДТОРГ" Ч23161 Армавир Луначарского317</t>
  </si>
  <si>
    <t>,352903, Краснодарский край,, г Армавир, ,ул Луначарского, д. 317,,</t>
  </si>
  <si>
    <t>44.974112, 41.152551</t>
  </si>
  <si>
    <t>PkО73191</t>
  </si>
  <si>
    <t>Агроторг ООО № 18152</t>
  </si>
  <si>
    <t>,352903,Краснодарский край,,Армавир г,,Луначарского ул,317,5,</t>
  </si>
  <si>
    <t>44.972754, 41.154895</t>
  </si>
  <si>
    <t>Pk2539</t>
  </si>
  <si>
    <t>АО "Тандер", ММ "Пауль"(А)</t>
  </si>
  <si>
    <t>,352900,Краснодарский край,,Армавир г,,Луначарского ул,307,,</t>
  </si>
  <si>
    <t>44.975088, 41.150943</t>
  </si>
  <si>
    <t>Pi073356</t>
  </si>
  <si>
    <t>Агроторг ООО № 26736</t>
  </si>
  <si>
    <t>,352903,Краснодарский край,,Армавир г,,Лавриненко ул,3,,</t>
  </si>
  <si>
    <t>44.975081, 41.149676</t>
  </si>
  <si>
    <t>PgО00151</t>
  </si>
  <si>
    <t>ИП Бражникова В П маг Смак</t>
  </si>
  <si>
    <t>,,Краснодарский,,Армавир,,Тургенева,296,2,</t>
  </si>
  <si>
    <t>44.975228, 41.153243</t>
  </si>
  <si>
    <t>Pr074787</t>
  </si>
  <si>
    <t>ООО "Шаг" № 4</t>
  </si>
  <si>
    <t>Краснодарский край., Армавир, ул. Советской Армии, 442</t>
  </si>
  <si>
    <t>44.966492, 41.142580</t>
  </si>
  <si>
    <t>Константинов Каскад - Вулкан</t>
  </si>
  <si>
    <t>,352903,Краснодарский край,,Армавир г,,Урупская ул,96,,</t>
  </si>
  <si>
    <t>44.962142, 41.141421</t>
  </si>
  <si>
    <t>Pk087902</t>
  </si>
  <si>
    <t>Саакянц А Р маг Хозяюшка</t>
  </si>
  <si>
    <t>,352902,Краснодарский край,,Армавир г,,Кропоткина ул,415,,</t>
  </si>
  <si>
    <t>44.974597, 41.139175</t>
  </si>
  <si>
    <t>PkО74364</t>
  </si>
  <si>
    <t>ООО "Шаг" № 1</t>
  </si>
  <si>
    <t>,352915, Краснодарский край,, г Армавир, ул Кропоткина, д. 418</t>
  </si>
  <si>
    <t>44.975655, 41.136381</t>
  </si>
  <si>
    <t>PkО74227</t>
  </si>
  <si>
    <t>ООО "Атлас" №7909</t>
  </si>
  <si>
    <t>,352902, Краснодарский край,, г Армавир, ,ул Лавриненко, д. 172,,</t>
  </si>
  <si>
    <t>44.968271, 41.141295</t>
  </si>
  <si>
    <t>Pd073000</t>
  </si>
  <si>
    <t>АО "Тандер", ММ "Омбало"(А)</t>
  </si>
  <si>
    <t>,352915,Краснодарский край,,Армавир г,,Кропоткина ул,371,,</t>
  </si>
  <si>
    <t>44.977919, 41.132797</t>
  </si>
  <si>
    <t>Pr074788</t>
  </si>
  <si>
    <t>ООО "Шаг" № 5</t>
  </si>
  <si>
    <t>Краснодарский край., Армавир, ул. Кропоткина, 384 А</t>
  </si>
  <si>
    <t>44.977625, 41.132617</t>
  </si>
  <si>
    <t>Pr074789</t>
  </si>
  <si>
    <t>ООО "Шаг" № 21</t>
  </si>
  <si>
    <t>Краснодарский край, г. Армавир, ул. Халтурина, 257</t>
  </si>
  <si>
    <t>44.983414, 41.122538</t>
  </si>
  <si>
    <t>PkО74365</t>
  </si>
  <si>
    <t>ООО "Шаг" № 19</t>
  </si>
  <si>
    <t>,352905, Краснодарский край,, г Армавир, ул Дзержинского, д. 137</t>
  </si>
  <si>
    <t>44.990191, 41.125907</t>
  </si>
  <si>
    <t>Pk2387</t>
  </si>
  <si>
    <t>АО "Тандер", ММ "Зерец"(А)</t>
  </si>
  <si>
    <t>,352905,Краснодарский край,,Армавир г,,Луначарского ул,167,,</t>
  </si>
  <si>
    <t>44.985499, 41.131288</t>
  </si>
  <si>
    <t>PkО74134</t>
  </si>
  <si>
    <t>ООО "АЛЬФА-М" №21847</t>
  </si>
  <si>
    <t>,352915, Краснодарский край,, г Армавир, ,ул Урицкого, д. 148,,</t>
  </si>
  <si>
    <t>44.979302, 41.125341</t>
  </si>
  <si>
    <t>Pr002169</t>
  </si>
  <si>
    <t>АО "Тандер", ММ "Лайсан"</t>
  </si>
  <si>
    <t>,352915,Краснодарский край,,Армавир г,,Урицкого ул,185,,</t>
  </si>
  <si>
    <t>44.981400, 41.127551</t>
  </si>
  <si>
    <t>Pk2391</t>
  </si>
  <si>
    <t>АО "Тандер", ММ "Ринальдо"(А)</t>
  </si>
  <si>
    <t>,352900,Краснодарский край,,Армавир г,,Советской Армии ул,235,,</t>
  </si>
  <si>
    <t>44.979717, 41.116690</t>
  </si>
  <si>
    <t>Pt000123</t>
  </si>
  <si>
    <t>Агроторг ООО № 10509</t>
  </si>
  <si>
    <t>,352905,Краснодарский край,,Армавир г,,Кропоткина ул,215,,</t>
  </si>
  <si>
    <t>44.986098, 41.117058</t>
  </si>
  <si>
    <t>PkО73549</t>
  </si>
  <si>
    <t>АО "ПРОДТОРГ" Ч23193 Армавир Кирова 100</t>
  </si>
  <si>
    <t>,352905, Краснодарский край,, г Армавир, ,ул Кирова, д. 100,,</t>
  </si>
  <si>
    <t>44.991230, 41.122412</t>
  </si>
  <si>
    <t>Pk001424</t>
  </si>
  <si>
    <t>АО "Тандер" ГМ Армавир Энгельса</t>
  </si>
  <si>
    <t>,352900,Краснодарский край,,Армавир г,,Энгельса ул,57,2,</t>
  </si>
  <si>
    <t>44.999274, 41.119619</t>
  </si>
  <si>
    <t>07 маршрут Армавир</t>
  </si>
  <si>
    <t>Pk001376</t>
  </si>
  <si>
    <t>Отдел № 1 г. Армавир  Ленина. 34</t>
  </si>
  <si>
    <t>,352930,Краснодарский край,,Армавир г,,Ленина ул,34,,</t>
  </si>
  <si>
    <t>45.003933, 41.117903</t>
  </si>
  <si>
    <t>Pk001373</t>
  </si>
  <si>
    <t>Отдел № 3 г. Армавир, Красная поляна  ДДИ</t>
  </si>
  <si>
    <t>,352947,Краснодарский край,,Армавир г,Красная Поляна х,Баррикадная ул,67,,</t>
  </si>
  <si>
    <t>45.047380, 41.106854</t>
  </si>
  <si>
    <t>Pa072954</t>
  </si>
  <si>
    <t>ГБУЗ " ПЦ г.Армавира" МЗ КК</t>
  </si>
  <si>
    <t>,352900,Краснодарский край,,Армавир г,,Ф.Энгельса ул,20,,</t>
  </si>
  <si>
    <t>45.001753, 41.112531</t>
  </si>
  <si>
    <t>7 маршрут Армавир</t>
  </si>
  <si>
    <t>ГБУЗ "ДБ" г.Армавира" МЗ КК</t>
  </si>
  <si>
    <t>,352900,Краснодарский край,,Армавир г,,Ф.Энгельса ул,2,,</t>
  </si>
  <si>
    <t>45.004079, 41.109764</t>
  </si>
  <si>
    <t>Pl000208</t>
  </si>
  <si>
    <t>Жданов А.С ИП</t>
  </si>
  <si>
    <t>,352923,Краснодарский край,,Армавир г,,Матвеева ул,151,а,</t>
  </si>
  <si>
    <t>44.984721, 41.081925</t>
  </si>
  <si>
    <t>Pk087773</t>
  </si>
  <si>
    <t>АО "Тандер", ММ "Зодчий"(А)</t>
  </si>
  <si>
    <t>,352900,Краснодарский край,,Армавир г,,Энгельса ул,13,,</t>
  </si>
  <si>
    <t>45.004028, 41.111659</t>
  </si>
  <si>
    <t>Т0000014</t>
  </si>
  <si>
    <t>Кредо маг Минимакс"б/н  Маршрут  2</t>
  </si>
  <si>
    <t>,352900,Краснодарский край,,Армавир г,,Володарского ул,3,,</t>
  </si>
  <si>
    <t>45.005207, 41.099910</t>
  </si>
  <si>
    <t>Черняева маг Продукты</t>
  </si>
  <si>
    <t>,352922,Краснодарский край,,Армавир г,Промзона-10 рп,Линейная ул,8а,,</t>
  </si>
  <si>
    <t>45.011637, 41.103530</t>
  </si>
  <si>
    <t>Мусаева Е.А маг. Оазис №2</t>
  </si>
  <si>
    <t>,352900,Краснодарский край,,Армавир г,,Шоссейная ул (район Кирпичного),41/43,,</t>
  </si>
  <si>
    <t>45.023896, 41.093433</t>
  </si>
  <si>
    <t>Pk2268</t>
  </si>
  <si>
    <t>Восковская А.А Маг. Продукты</t>
  </si>
  <si>
    <t>,352906,Краснодарский край,,Армавир г,,Восточная ул,32,,</t>
  </si>
  <si>
    <t>45.025387, 41.092867</t>
  </si>
  <si>
    <t>Pk2389</t>
  </si>
  <si>
    <t>АО "Тандер", ММ "Ориби"(А)</t>
  </si>
  <si>
    <t>,352900,Краснодарский край,,Армавир г,,Шоссейная ул,99,,</t>
  </si>
  <si>
    <t>45.015607, 41.102074</t>
  </si>
  <si>
    <t>Pd073212</t>
  </si>
  <si>
    <t>Левчук Д.П маг Продукты</t>
  </si>
  <si>
    <t>,352906,Краснодарский край,,Армавир г,,Центральная ул,53,,</t>
  </si>
  <si>
    <t>45.018563, 41.105901</t>
  </si>
  <si>
    <t>PkО73915</t>
  </si>
  <si>
    <t>Агроторг ООО № 29948</t>
  </si>
  <si>
    <t>,352906, Краснодарский край,, г.о. город Армавир, г Армавир, ул Шоссейная, д. 77,,</t>
  </si>
  <si>
    <t>45.018882, 41.098841</t>
  </si>
  <si>
    <t>Т0000018</t>
  </si>
  <si>
    <t>Фрешмаркет Ленина 80</t>
  </si>
  <si>
    <t>,352900,Краснодарский край,,Армавир г,,Ленина ул,80,,</t>
  </si>
  <si>
    <t>44.999000, 41.127632</t>
  </si>
  <si>
    <t>Pr074795</t>
  </si>
  <si>
    <t>ООО "Шаг" № 22</t>
  </si>
  <si>
    <t>Краснодарский край., Армавир, ул.Ленина, 87</t>
  </si>
  <si>
    <t>45.001900, 41.122691</t>
  </si>
  <si>
    <t>Т0000011</t>
  </si>
  <si>
    <t>Кредо маг Вертолет б/н  Маршрут  7</t>
  </si>
  <si>
    <t>,352900,Краснодарский край,,Армавир г,,Ефремова ул,44,,</t>
  </si>
  <si>
    <t>45.004914, 41.121523</t>
  </si>
  <si>
    <t>PgО00108</t>
  </si>
  <si>
    <t>Никитина В А маг "Валентина"</t>
  </si>
  <si>
    <t>,,Краснодарский,,Армавир,Центральная Усадьба Совхоза Юбилейный,Молодежная,1 а,,</t>
  </si>
  <si>
    <t>45.022953, 41.121173</t>
  </si>
  <si>
    <t>Pr074957</t>
  </si>
  <si>
    <t>Кондаков А.А. ИП в/ч 6761</t>
  </si>
  <si>
    <t>352900, Краснодарский край, Армавир г, Поселок Роща Туркомплекс</t>
  </si>
  <si>
    <t>45.019838, 41.128692</t>
  </si>
  <si>
    <t>PkО73596</t>
  </si>
  <si>
    <t>АО "Тандер", ММ "Граватал"</t>
  </si>
  <si>
    <t>,352904, Краснодарский край,, г.о. город Армавир, г Армавир, мкр Северный жилой район, д. 8,,</t>
  </si>
  <si>
    <t>45.018258, 41.115459</t>
  </si>
  <si>
    <t>Pf003528</t>
  </si>
  <si>
    <t>Агроторг ООО № 22642</t>
  </si>
  <si>
    <t>,352900,Краснодарский край,,Армавир г,Северный мкр,мкр.8-й Северного жилого,1/3,,</t>
  </si>
  <si>
    <t>45.015422, 41.124200</t>
  </si>
  <si>
    <t>Pr000114</t>
  </si>
  <si>
    <t>Котлярова С. А. маг. Фруктик Продуктик</t>
  </si>
  <si>
    <t>,352906,Краснодарский край,,Армавир г,,Северный мкр,3/10,,</t>
  </si>
  <si>
    <t>45.013319, 41.123517</t>
  </si>
  <si>
    <t>Стефаненко м-к Северный "Овощи и фрукты"</t>
  </si>
  <si>
    <t>,352900,Краснодарский край,,Армавир г,Северный мкр,Строение 1,2,,</t>
  </si>
  <si>
    <t>45.014689, 41.124460</t>
  </si>
  <si>
    <t>Pk00939</t>
  </si>
  <si>
    <t>ООО "Лента", ТК ЛЕНТА-25</t>
  </si>
  <si>
    <t>,352900,Краснодарский край,,Армавир г,,Песчаная ул,40,1,</t>
  </si>
  <si>
    <t>45.012396, 41.125386</t>
  </si>
  <si>
    <t>ТС Лента</t>
  </si>
  <si>
    <t>PkО74117</t>
  </si>
  <si>
    <t>ООО "АЛЬФА-М" №19321</t>
  </si>
  <si>
    <t>,352931, Краснодарский край,, г Армавир, ул Шаумяна, д. 6/6, помещ. 54,,</t>
  </si>
  <si>
    <t>45.006049, 41.107716</t>
  </si>
  <si>
    <t>Pk000166</t>
  </si>
  <si>
    <t>Арзуманян А.Р. маг "Лидия"</t>
  </si>
  <si>
    <t>Pk003000</t>
  </si>
  <si>
    <t>АО "Тандер", ММ "Тотальный"(А)</t>
  </si>
  <si>
    <t>,352901,Краснодарский край,,Армавир г,,Ефремова ул,9,а,</t>
  </si>
  <si>
    <t>45.007584, 41.125233</t>
  </si>
  <si>
    <t>8 маршрут Армавир</t>
  </si>
  <si>
    <t>Pk002893</t>
  </si>
  <si>
    <t>ГКОУ Школа № 22 г. Армавир</t>
  </si>
  <si>
    <t>352900, Краснодарский край, г. Армавир, ул. Лермонтова, дом 150</t>
  </si>
  <si>
    <t>45.002059, 41.136031</t>
  </si>
  <si>
    <t>Pr074870</t>
  </si>
  <si>
    <t>ООО "Шаг" № 17</t>
  </si>
  <si>
    <t>,352900,Краснодарский край,,Армавир г,,Розы Люксембург ул,дом 161а, ,</t>
  </si>
  <si>
    <t>45.001454, 41.133156</t>
  </si>
  <si>
    <t>Pf003688</t>
  </si>
  <si>
    <t>Частная школа " Перспектива"</t>
  </si>
  <si>
    <t>,352900,Краснодарский край,,Армавир г,,Кирова ул,49,,</t>
  </si>
  <si>
    <t>44.998509, 41.131009</t>
  </si>
  <si>
    <t>Pk002856</t>
  </si>
  <si>
    <t>Моргунов А.В. маг."Продукты"</t>
  </si>
  <si>
    <t>,,Краснодарский край,,Армавир г.,32 совхоз,Садовая,19/1,,</t>
  </si>
  <si>
    <t>44.988769, 41.155695</t>
  </si>
  <si>
    <t>Pd073211</t>
  </si>
  <si>
    <t>Левчук Д.П маг Перекресток</t>
  </si>
  <si>
    <t>,352941,Краснодарский край,,Армавир г,Старая Станица ст-ца,Халтурина ул,211,,</t>
  </si>
  <si>
    <t>45.014040, 41.148724</t>
  </si>
  <si>
    <t>PkО72888</t>
  </si>
  <si>
    <t>ООО "Шаг" № 26</t>
  </si>
  <si>
    <t>,352941,Краснодарский край,,Армавир г,Старая Станица ст-ца,Заводская ул,45/2,,</t>
  </si>
  <si>
    <t>45.015397, 41.154563</t>
  </si>
  <si>
    <t>Оганджанов Ш.Г маг Продукты (Заречная)</t>
  </si>
  <si>
    <t>,352941,Краснодарский край,,Армавир г,Старая Станица ст-ца,Заречная ул,17,,</t>
  </si>
  <si>
    <t>45.013141, 41.139193</t>
  </si>
  <si>
    <t>PkО74366</t>
  </si>
  <si>
    <t>ООО "Шаг" № 28</t>
  </si>
  <si>
    <t>,352941, Краснодарский край,, г.о. город Армавир, ст-ца Старая Станица, ул Ставропольская, д. 46,,</t>
  </si>
  <si>
    <t>45.011077, 41.144484</t>
  </si>
  <si>
    <t>PkО72926</t>
  </si>
  <si>
    <t>Есаян М.П. маг Вишенка</t>
  </si>
  <si>
    <t>,352941,Краснодарский край,,Армавир г,Старая Станица ст-ца,Вишневая ул,19,,</t>
  </si>
  <si>
    <t>45.006584, 41.150709</t>
  </si>
  <si>
    <t>Тешев Альберт Хазретович</t>
  </si>
  <si>
    <t>,352941,Краснодарский край,,Армавир г,Старая Станица ст-ца,Гвардейская ул,64,,</t>
  </si>
  <si>
    <t>45.004207, 41.153287</t>
  </si>
  <si>
    <t>АО "Тандер", ММ "Привычный"(А)</t>
  </si>
  <si>
    <t>,352941,Краснодарский край,,Армавир г,Старая Станица ст-ца,Ставропольская ул,95,,</t>
  </si>
  <si>
    <t>45.013453, 41.147350</t>
  </si>
  <si>
    <t>PkО73639</t>
  </si>
  <si>
    <t>АО "Тандер", ММ "Кушка"</t>
  </si>
  <si>
    <t>,352203, Краснодарский край, м.р-н Новокубанский, с.п. Прикубанское, п Прикубанский, ул Шоссейная, влд. 62,,</t>
  </si>
  <si>
    <t>45.011726, 41.162558</t>
  </si>
  <si>
    <t>PkО73862</t>
  </si>
  <si>
    <t>Агроторг ООО № 27743</t>
  </si>
  <si>
    <t>,352203, Краснодарский край, м.р-н Новокубанский, с.п. Прикубанское, п Прикубанский, ул Халтурина, влд. 35,,</t>
  </si>
  <si>
    <t>45.007164, 41.172314</t>
  </si>
  <si>
    <t>PkО74412</t>
  </si>
  <si>
    <t>Сапелкина А.Ю. ИП маг Продукты</t>
  </si>
  <si>
    <t>,352941, Краснодарский край,, г.о. город Армавир, ст-ца Старая Станица, ул Гагарина, д. 21,,</t>
  </si>
  <si>
    <t>45.014581, 41.156045</t>
  </si>
  <si>
    <t>Погосян "Анушка"</t>
  </si>
  <si>
    <t>,352941,Краснодарский край,,Армавир г,Старая Станица ст-ца,Ленинградская ул,110,,</t>
  </si>
  <si>
    <t>45.006775, 41.156629</t>
  </si>
  <si>
    <t>Pr000168</t>
  </si>
  <si>
    <t>Агроторг ООО № 14930</t>
  </si>
  <si>
    <t>,352941,Краснодарский край,,Армавир г,Старая Станица ст-ца,Ставропольская ул,107,,</t>
  </si>
  <si>
    <t>45.013887, 41.148104</t>
  </si>
  <si>
    <t>АО "Тандер", ММ "Николаевкий"(А)</t>
  </si>
  <si>
    <t>,352900,Краснодарский край,,Армавир г,,Кирова ул,29,,</t>
  </si>
  <si>
    <t>45.001836, 41.133363</t>
  </si>
  <si>
    <t>Р0000073</t>
  </si>
  <si>
    <t>Фрешмаркет Лермонтова</t>
  </si>
  <si>
    <t>,352901,Краснодарский край,,Армавир г,,Лермонтова ул,139,,</t>
  </si>
  <si>
    <t>45.004290, 41.131027</t>
  </si>
  <si>
    <t>Казаков  7 Школа ларек</t>
  </si>
  <si>
    <t>,352900,Краснодарский край,,Армавир г,,Лермонтова,72,,</t>
  </si>
  <si>
    <t>45.005010, 41.125907</t>
  </si>
  <si>
    <t>PkО74231</t>
  </si>
  <si>
    <t>ООО "Атлас" №8087</t>
  </si>
  <si>
    <t>,352904, Краснодарский край,, г Армавир, ,ул Комсомольская, д. 107,,</t>
  </si>
  <si>
    <t>45.002964, 41.124514</t>
  </si>
  <si>
    <t>Pt000100</t>
  </si>
  <si>
    <t>Агрокомплекс 687</t>
  </si>
  <si>
    <t>,352900,Краснодарский край,,Армавир г,,Свердлова ул; 62 д; (переезд ТТ 374),,,</t>
  </si>
  <si>
    <t>45.002161, 41.125017</t>
  </si>
  <si>
    <t>ТС Агрокомплекс</t>
  </si>
  <si>
    <t>АО "Тандер", ММ "Козерог"(А)</t>
  </si>
  <si>
    <t>,352900,Краснодарский край,,Армавир г,,Мира ул,45,,</t>
  </si>
  <si>
    <t>44.999376, 41.124847</t>
  </si>
  <si>
    <t>Pr074573</t>
  </si>
  <si>
    <t>АО "Тандер", ММ "Мытнинский"</t>
  </si>
  <si>
    <t>,352900,Краснодарский край,,Армавир г,,Мира ул,дом 22/3, ,</t>
  </si>
  <si>
    <t>44.998229, 41.125943</t>
  </si>
  <si>
    <t>Pk2372</t>
  </si>
  <si>
    <t>Агроторг ООО № 5964</t>
  </si>
  <si>
    <t>,352900,Краснодарский край,,Армавир г,,Мира ул,24,А,</t>
  </si>
  <si>
    <t>44.997878, 41.126356</t>
  </si>
  <si>
    <t>Р0000031</t>
  </si>
  <si>
    <t>Фрешмаркет Кирова</t>
  </si>
  <si>
    <t>,352905,Краснодарский край,,Армавир г,,Кирова ул,дом 61 А, ,</t>
  </si>
  <si>
    <t>44.994723, 41.127308</t>
  </si>
  <si>
    <t>Т0000029</t>
  </si>
  <si>
    <t>Кредо Тургенева б/н   Маршрут 9</t>
  </si>
  <si>
    <t>,352905,Краснодарский край,,Армавир г,,Тургенева ул,125,,</t>
  </si>
  <si>
    <t>44.990510, 41.129302</t>
  </si>
  <si>
    <t>ОРС  ул. ЭНГЕЛЬСА 101</t>
  </si>
  <si>
    <t>,352900,Краснодарский край,,Армавир г,,Ф.Энгельса ул,101,,</t>
  </si>
  <si>
    <t>44.992256, 41.130659</t>
  </si>
  <si>
    <t>Pb072961</t>
  </si>
  <si>
    <t>ГБУЗ "Психоневрологический диспансер №2" МЗ КК</t>
  </si>
  <si>
    <t>,352900,Краснодарский край,,Армавир г,,Свердлова ул,106,,</t>
  </si>
  <si>
    <t>44.991632, 41.112504</t>
  </si>
  <si>
    <t>10 маршрут Армавир</t>
  </si>
  <si>
    <t>Pk002882</t>
  </si>
  <si>
    <t>ООО "Шаг" № 24</t>
  </si>
  <si>
    <t>,,Краснодарский край,,Армавир,,Советской Армии,282,,</t>
  </si>
  <si>
    <t>44.972830, 41.129222</t>
  </si>
  <si>
    <t>Pr075076</t>
  </si>
  <si>
    <t>Арзуманян В.А ИП Маг Леон</t>
  </si>
  <si>
    <t>Г Армавир, п. Заветный, ул Урупская 3 Б</t>
  </si>
  <si>
    <t>44.963679, 41.143729</t>
  </si>
  <si>
    <t>Pd073276</t>
  </si>
  <si>
    <t>Статива Южный  (Заветный)</t>
  </si>
  <si>
    <t>,352942,Краснодарский край,,Армавир г,Заветный п,Пушкина ул,70,,</t>
  </si>
  <si>
    <t>44.927622, 41.137729</t>
  </si>
  <si>
    <t>PkО73501</t>
  </si>
  <si>
    <t>Вовочка ООО</t>
  </si>
  <si>
    <t>,352942, Краснодарский край,, г.о. город Армавир, п Заветный, ул Офицерская, д. 58,,</t>
  </si>
  <si>
    <t>44.933282, 41.129617</t>
  </si>
  <si>
    <t>Pr075077</t>
  </si>
  <si>
    <t>Арзуманян В.А.ИП маг Бумеранг</t>
  </si>
  <si>
    <t>г Армавир, п. Заветный, ул Ленина 37 А</t>
  </si>
  <si>
    <t>44.933174, 41.138420</t>
  </si>
  <si>
    <t>Pr074792</t>
  </si>
  <si>
    <t>ООО "Шаг" №9</t>
  </si>
  <si>
    <t>Краснодарский край, г. Армавир, пос. Заветный, ул. Мира, 21</t>
  </si>
  <si>
    <t>44.936122, 41.134746</t>
  </si>
  <si>
    <t>Pk2199</t>
  </si>
  <si>
    <t>АО "Тандер", ММ "Лоренс"(А)</t>
  </si>
  <si>
    <t>,352942,Краснодарский край,,Армавир г,Заветный п,Загорская ул,2,17,</t>
  </si>
  <si>
    <t>44.944792, 41.131467</t>
  </si>
  <si>
    <t>АО "Тандер", ММ "Ротор"(А)</t>
  </si>
  <si>
    <t>,352900,Краснодарский край,,Армавир г,,Советской Армии ул,389,,</t>
  </si>
  <si>
    <t>44.970796, 41.134495</t>
  </si>
  <si>
    <t>PkО73220</t>
  </si>
  <si>
    <t>Агроторг ООО № 17939</t>
  </si>
  <si>
    <t>,352915,Краснодарский край,,Армавир г,,Советской Армии ул,218,,</t>
  </si>
  <si>
    <t>44.978531, 41.117606</t>
  </si>
  <si>
    <t>Pk2586</t>
  </si>
  <si>
    <t>АО "Тандер", ММ "Лейтер" (А)</t>
  </si>
  <si>
    <t>,352905,Краснодарский край,,Армавир г,,К.Либкнехта ул,99,,</t>
  </si>
  <si>
    <t>44.992632, 41.121433</t>
  </si>
  <si>
    <t>Pi000046</t>
  </si>
  <si>
    <t>Агроторг ООО № 22155</t>
  </si>
  <si>
    <t>,352905,Краснодарский край,,Армавир г,,Тургенева ул,110а,,</t>
  </si>
  <si>
    <t>44.993455, 41.122314</t>
  </si>
  <si>
    <t>PkО73540</t>
  </si>
  <si>
    <t>АО "ПРОДТОРГ" Ч23163 Армавир Кропоткина 131</t>
  </si>
  <si>
    <t>,352900, Краснодарский край,, г.о. город Армавир, г Армавир, ул Кропоткина, д. 131,,</t>
  </si>
  <si>
    <t>44.990746, 41.108309</t>
  </si>
  <si>
    <t>Pk002222</t>
  </si>
  <si>
    <t>АО "Тандер", ММ "Витраж"(А)</t>
  </si>
  <si>
    <t>,352900,Краснодарский край,,Армавир г,,Ефремова ул,87,,</t>
  </si>
  <si>
    <t>44.993697, 41.106512</t>
  </si>
  <si>
    <t>Pf000096</t>
  </si>
  <si>
    <t>Агроторг ООО № 14798</t>
  </si>
  <si>
    <t>,352931,Краснодарский край,,Армавир г,,Ефремова ул,166,,</t>
  </si>
  <si>
    <t>44.996304, 41.107743</t>
  </si>
  <si>
    <t>ТС Перекрёсток</t>
  </si>
  <si>
    <t>Т0000015</t>
  </si>
  <si>
    <t>Кредо- ЗВТ б/н Маршрут  10</t>
  </si>
  <si>
    <t>352900, Краснодарский край, Армавир г, Ефремова ул, д. 73</t>
  </si>
  <si>
    <t>44.995686, 41.111516</t>
  </si>
  <si>
    <t>PgО00170</t>
  </si>
  <si>
    <t>Агроторг ООО № 15135</t>
  </si>
  <si>
    <t>,352931,Краснодарский край,,Армавир г,,Володарского ул,49,,</t>
  </si>
  <si>
    <t>45.001243, 41.104769</t>
  </si>
  <si>
    <t>Pk2660</t>
  </si>
  <si>
    <t>Агроторг ООО № 11090</t>
  </si>
  <si>
    <t>,352900,Краснодарский край,,Армавир г,,Шмидта ул,13,,</t>
  </si>
  <si>
    <t>45.000925, 41.100754</t>
  </si>
  <si>
    <t>PkО74062</t>
  </si>
  <si>
    <t>ООО "АЛЬФА-М" №15146</t>
  </si>
  <si>
    <t>,352931, Краснодарский край,, г Армавир, ,ул Шмидта, д. 17,,</t>
  </si>
  <si>
    <t>45.001129, 41.100260</t>
  </si>
  <si>
    <t>Pr002762</t>
  </si>
  <si>
    <t>АО "Тандер", ММ "Генераторный"</t>
  </si>
  <si>
    <t>,352942,Краснодарский край,,Армавир г,Заветный п,Шоссейная ул,дом 65, ,</t>
  </si>
  <si>
    <t>44.926805, 41.131360</t>
  </si>
  <si>
    <t>Итог</t>
  </si>
  <si>
    <t>Канал сбыта</t>
  </si>
  <si>
    <t>временной промежуток разгрузки</t>
  </si>
  <si>
    <t>средняя цена за единицу продукции</t>
  </si>
  <si>
    <t>кол-во ед. в ящике</t>
  </si>
  <si>
    <t>ТС Доброцены</t>
  </si>
  <si>
    <t>Ставка водителя</t>
  </si>
  <si>
    <t>3000 руб.</t>
  </si>
  <si>
    <t>стоимость 1 км</t>
  </si>
  <si>
    <t>20 руб.</t>
  </si>
  <si>
    <t xml:space="preserve">стоимость 1 час </t>
  </si>
  <si>
    <t>150 руб.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</si>
</sst>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176" formatCode="_-* #\.##0.00_-;\-* #\.##0.00_-;_-* &quot;-&quot;??_-;_-@_-"/>
    <numFmt numFmtId="177" formatCode="_-* #\.##0.00\ &quot;₽&quot;_-;\-* #\.##0.00\ &quot;₽&quot;_-;_-* \-??\ &quot;₽&quot;_-;_-@_-"/>
    <numFmt numFmtId="178" formatCode="_-* #\.##0_-;\-* #\.##0_-;_-* &quot;-&quot;_-;_-@_-"/>
    <numFmt numFmtId="179" formatCode="_-* #\.##0\ &quot;₽&quot;_-;\-* #\.##0\ &quot;₽&quot;_-;_-* \-\ &quot;₽&quot;_-;_-@_-"/>
    <numFmt numFmtId="180" formatCode="#\ ##0.00\ &quot;₽&quot;"/>
    <numFmt numFmtId="181" formatCode="h:mm;@"/>
    <numFmt numFmtId="182" formatCode="[$-F400]h:mm:ss\ AM/PM"/>
    <numFmt numFmtId="183" formatCode="#\ ##0\ &quot;₽&quot;"/>
  </numFmts>
  <fonts count="26">
    <font>
      <sz val="11"/>
      <color theme="1"/>
      <name val="Calibri"/>
      <charset val="134"/>
      <scheme val="minor"/>
    </font>
    <font>
      <sz val="8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1"/>
      <name val="Calibri"/>
      <charset val="20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204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5" fillId="0" borderId="0" applyFont="0" applyFill="0" applyBorder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78" fontId="5" fillId="0" borderId="0" applyFont="0" applyFill="0" applyBorder="0" applyAlignment="0" applyProtection="0">
      <alignment vertical="center"/>
    </xf>
    <xf numFmtId="17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2" borderId="3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3" borderId="6" applyNumberFormat="0" applyAlignment="0" applyProtection="0">
      <alignment vertical="center"/>
    </xf>
    <xf numFmtId="0" fontId="15" fillId="4" borderId="7" applyNumberFormat="0" applyAlignment="0" applyProtection="0">
      <alignment vertical="center"/>
    </xf>
    <xf numFmtId="0" fontId="16" fillId="4" borderId="6" applyNumberFormat="0" applyAlignment="0" applyProtection="0">
      <alignment vertical="center"/>
    </xf>
    <xf numFmtId="0" fontId="17" fillId="5" borderId="8" applyNumberFormat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</cellStyleXfs>
  <cellXfs count="45">
    <xf numFmtId="0" fontId="0" fillId="0" borderId="0" xfId="0"/>
    <xf numFmtId="0" fontId="0" fillId="0" borderId="0" xfId="0" applyAlignment="1">
      <alignment wrapText="1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180" fontId="0" fillId="0" borderId="0" xfId="0" applyNumberFormat="1"/>
    <xf numFmtId="2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top"/>
    </xf>
    <xf numFmtId="0" fontId="0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/>
    <xf numFmtId="0" fontId="0" fillId="0" borderId="2" xfId="0" applyBorder="1"/>
    <xf numFmtId="0" fontId="0" fillId="0" borderId="2" xfId="0" applyBorder="1" applyAlignment="1">
      <alignment horizontal="center" vertical="center" wrapText="1"/>
    </xf>
    <xf numFmtId="0" fontId="3" fillId="0" borderId="0" xfId="0" applyFont="1"/>
    <xf numFmtId="0" fontId="0" fillId="0" borderId="0" xfId="0" applyFont="1" applyAlignment="1">
      <alignment horizontal="left" vertical="top" wrapText="1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Font="1" applyAlignment="1">
      <alignment horizontal="center" vertical="center" wrapText="1"/>
    </xf>
    <xf numFmtId="182" fontId="0" fillId="0" borderId="0" xfId="0" applyNumberFormat="1" applyFont="1" applyAlignment="1">
      <alignment horizontal="center" vertical="center" wrapText="1"/>
    </xf>
    <xf numFmtId="183" fontId="0" fillId="0" borderId="0" xfId="0" applyNumberFormat="1" applyFont="1" applyAlignment="1">
      <alignment horizontal="center" vertical="center" wrapText="1"/>
    </xf>
    <xf numFmtId="1" fontId="0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81" fontId="2" fillId="0" borderId="0" xfId="0" applyNumberFormat="1" applyFont="1" applyAlignment="1">
      <alignment horizontal="center" vertical="center"/>
    </xf>
    <xf numFmtId="181" fontId="2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81" fontId="3" fillId="0" borderId="0" xfId="0" applyNumberFormat="1" applyFont="1" applyAlignment="1">
      <alignment horizontal="center" vertical="center"/>
    </xf>
    <xf numFmtId="181" fontId="3" fillId="0" borderId="0" xfId="0" applyNumberFormat="1" applyFont="1" applyAlignment="1">
      <alignment horizontal="center" vertical="center" wrapText="1"/>
    </xf>
    <xf numFmtId="182" fontId="1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1" xfId="0" applyBorder="1" applyAlignment="1"/>
    <xf numFmtId="0" fontId="4" fillId="0" borderId="0" xfId="0" applyFont="1"/>
    <xf numFmtId="0" fontId="4" fillId="0" borderId="0" xfId="0" applyFont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83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</cellXfs>
  <cellStyles count="49">
    <cellStyle name="Обычный" xfId="0" builtinId="0"/>
    <cellStyle name="Запятая" xfId="1" builtinId="3"/>
    <cellStyle name="Денежный" xfId="2" builtinId="4"/>
    <cellStyle name="Процент" xfId="3" builtinId="5"/>
    <cellStyle name="Запятая [0]" xfId="4" builtinId="6"/>
    <cellStyle name="Денежный [0]" xfId="5" builtinId="7"/>
    <cellStyle name="Гиперссылка" xfId="6" builtinId="8"/>
    <cellStyle name="Открывавшаяся гиперссылка" xfId="7" builtinId="9"/>
    <cellStyle name="Примечание" xfId="8" builtinId="10"/>
    <cellStyle name="Предупреждающий текст" xfId="9" builtinId="11"/>
    <cellStyle name="Заголовок" xfId="10" builtinId="15"/>
    <cellStyle name="Пояснительный текст" xfId="11" builtinId="53"/>
    <cellStyle name="Заголовок 1" xfId="12" builtinId="16"/>
    <cellStyle name="Заголовок 2" xfId="13" builtinId="17"/>
    <cellStyle name="Заголовок 3" xfId="14" builtinId="18"/>
    <cellStyle name="Заголовок 4" xfId="15" builtinId="19"/>
    <cellStyle name="Ввод" xfId="16" builtinId="20"/>
    <cellStyle name="Вывод" xfId="17" builtinId="21"/>
    <cellStyle name="Вычисление" xfId="18" builtinId="22"/>
    <cellStyle name="Проверить ячейку" xfId="19" builtinId="23"/>
    <cellStyle name="Связанная ячейка" xfId="20" builtinId="24"/>
    <cellStyle name="Итого" xfId="21" builtinId="25"/>
    <cellStyle name="Хороший" xfId="22" builtinId="26"/>
    <cellStyle name="Плохой" xfId="23" builtinId="27"/>
    <cellStyle name="Нейтральный" xfId="24" builtinId="28"/>
    <cellStyle name="Акцент1" xfId="25" builtinId="29"/>
    <cellStyle name="20% — Акцент1" xfId="26" builtinId="30"/>
    <cellStyle name="40% — Акцент1" xfId="27" builtinId="31"/>
    <cellStyle name="60% — Акцент1" xfId="28" builtinId="32"/>
    <cellStyle name="Акцент2" xfId="29" builtinId="33"/>
    <cellStyle name="20% — Акцент2" xfId="30" builtinId="34"/>
    <cellStyle name="40% — Акцент2" xfId="31" builtinId="35"/>
    <cellStyle name="60% — Акцент2" xfId="32" builtinId="36"/>
    <cellStyle name="Акцент3" xfId="33" builtinId="37"/>
    <cellStyle name="20% — Акцент3" xfId="34" builtinId="38"/>
    <cellStyle name="40% — Акцент3" xfId="35" builtinId="39"/>
    <cellStyle name="60% — Акцент3" xfId="36" builtinId="40"/>
    <cellStyle name="Акцент4" xfId="37" builtinId="41"/>
    <cellStyle name="20% — Акцент4" xfId="38" builtinId="42"/>
    <cellStyle name="40% — Акцент4" xfId="39" builtinId="43"/>
    <cellStyle name="60% — Акцент4" xfId="40" builtinId="44"/>
    <cellStyle name="Акцент5" xfId="41" builtinId="45"/>
    <cellStyle name="20% — Акцент5" xfId="42" builtinId="46"/>
    <cellStyle name="40% — Акцент5" xfId="43" builtinId="47"/>
    <cellStyle name="60% — Акцент5" xfId="44" builtinId="48"/>
    <cellStyle name="Акцент6" xfId="45" builtinId="49"/>
    <cellStyle name="20% — Акцент6" xfId="46" builtinId="50"/>
    <cellStyle name="40% — Акцент6" xfId="47" builtinId="51"/>
    <cellStyle name="60% — Акцент6" xfId="48" builtinId="52"/>
  </cellStyles>
  <dxfs count="25"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b val="0"/>
        <i val="0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  <alignment wrapText="1"/>
    </dxf>
    <dxf>
      <font>
        <name val="Calibri"/>
        <scheme val="none"/>
        <family val="2"/>
        <strike val="0"/>
        <u val="none"/>
        <sz val="8"/>
        <color theme="1"/>
      </font>
      <alignment wrapText="1"/>
    </dxf>
    <dxf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</dxf>
    <dxf>
      <font>
        <name val="Calibri"/>
        <scheme val="none"/>
        <family val="2"/>
        <strike val="0"/>
        <u val="none"/>
        <sz val="8"/>
        <color theme="1"/>
      </font>
      <alignment horizontal="center" vertical="center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1" formatCode="h:mm;@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3" formatCode="#\ ##0\ &quot;₽&quot;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" formatCode="0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" formatCode="0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83" formatCode="#\ ##0\ &quot;₽&quot;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numFmt numFmtId="1" formatCode="0"/>
      <alignment horizontal="center" vertical="center" wrapText="1"/>
    </dxf>
    <dxf>
      <font>
        <name val="Calibri"/>
        <scheme val="none"/>
        <family val="2"/>
        <strike val="0"/>
        <u val="none"/>
        <sz val="8"/>
        <color theme="1"/>
      </font>
      <alignment horizontal="center" vertical="center" wrapText="1"/>
    </dxf>
    <dxf>
      <numFmt numFmtId="20" formatCode="h:mm"/>
      <alignment horizontal="center" vertical="center"/>
    </dxf>
    <dxf>
      <numFmt numFmtId="20" formatCode="h:mm"/>
      <alignment horizontal="center" vertical="center"/>
    </dxf>
    <dxf>
      <alignment horizontal="center" vertical="center"/>
    </dxf>
    <dxf>
      <numFmt numFmtId="180" formatCode="#\ ##0.00\ &quot;₽&quot;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Таблица2" displayName="Таблица2" ref="A1:T175" totalsRowCount="1">
  <autoFilter xmlns:etc="http://www.wps.cn/officeDocument/2017/etCustomData" ref="A1:T174" etc:filterBottomFollowUsedRange="0"/>
  <sortState ref="A1:T174">
    <sortCondition ref="C1:C152"/>
  </sortState>
  <tableColumns count="20">
    <tableColumn id="1" name="№" dataDxfId="0" totalsRowLabel="Итог">
      <calculatedColumnFormula>SUBTOTAL(3,C$1:C1)</calculatedColumnFormula>
    </tableColumn>
    <tableColumn id="4" name="Код" dataDxfId="1"/>
    <tableColumn id="2" name="название тт" dataDxfId="2"/>
    <tableColumn id="3" name="адрес тт" dataDxfId="3"/>
    <tableColumn id="20" name="Координаты+" dataDxfId="4"/>
    <tableColumn id="19" name="текущий маршрут" dataDxfId="5"/>
    <tableColumn id="18" name="маршрут новый" dataDxfId="6"/>
    <tableColumn id="5" name="канал сбыта" dataDxfId="7" totalsRowFunction="count"/>
    <tableColumn id="6" name="приоритет доставки" dataDxfId="8">
      <calculatedColumnFormula>VLOOKUP(Таблица2[[#This Row],[канал сбыта]],справочники!A:D,4,0)</calculatedColumnFormula>
    </tableColumn>
    <tableColumn id="15" name="временной промежуток на разгрузку" dataDxfId="9" totalsRowFunction="average">
      <calculatedColumnFormula>VLOOKUP(Таблица2[[#This Row],[канал сбыта]],справочники!A:E,5,0)</calculatedColumnFormula>
    </tableColumn>
    <tableColumn id="7" name="окно доставки с" dataDxfId="10">
      <calculatedColumnFormula>VLOOKUP(Таблица2[[#This Row],[канал сбыта]],справочники!A:E,2,0)</calculatedColumnFormula>
    </tableColumn>
    <tableColumn id="8" name="окно доставки по" dataDxfId="11">
      <calculatedColumnFormula>VLOOKUP(Таблица2[[#This Row],[канал сбыта]],справочники!A:E,3,0)</calculatedColumnFormula>
    </tableColumn>
    <tableColumn id="9" name="время доставки текущее" dataDxfId="12"/>
    <tableColumn id="10" name="время доставки план" dataDxfId="13"/>
    <tableColumn id="11" name="сумма отгрузки текущая" dataDxfId="14"/>
    <tableColumn id="16" name="кол-во ед. продукции" dataDxfId="15">
      <calculatedColumnFormula>IFERROR(Таблица2[[#This Row],[сумма отгрузки текущая]]/40,"")</calculatedColumnFormula>
    </tableColumn>
    <tableColumn id="12" name="кол-во ящиков текущее" dataDxfId="16">
      <calculatedColumnFormula>IFERROR(ROUNDUP(Таблица2[[#This Row],[кол-во ед. продукции]]/20,0),"")</calculatedColumnFormula>
    </tableColumn>
    <tableColumn id="13" name="сумма отгрузки план" dataDxfId="17" totalsRowFunction="sum">
      <calculatedColumnFormula>O2*IF(ABS((N2-M2)*1440)&gt;180,IF((N2-M2)*1440&gt;0,0.85,1.1),IF(ABS((N2-M2)*1440)&gt;120,IF((N2-M2)*1440&gt;0,0.93,1.07),IF(ABS((N2-M2)*1440)&gt;60,IF((N2-M2)*1440&gt;0,0.97,1.03),1)))</calculatedColumnFormula>
    </tableColumn>
    <tableColumn id="17" name="кол-во продукции план" dataDxfId="18">
      <calculatedColumnFormula>IFERROR(Таблица2[[#This Row],[сумма отгрузки план]]/40,"")</calculatedColumnFormula>
    </tableColumn>
    <tableColumn id="14" name="кол-во ящиков план" dataDxfId="19" totalsRowFunction="sum">
      <calculatedColumnFormula>IFERROR(ROUNDUP(Таблица2[[#This Row],[кол-во продукции план]]/20,0),"")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E13" totalsRowShown="0">
  <autoFilter xmlns:etc="http://www.wps.cn/officeDocument/2017/etCustomData" ref="A1:E13" etc:filterBottomFollowUsedRange="0"/>
  <tableColumns count="5">
    <tableColumn id="1" name="Канал сбыта"/>
    <tableColumn id="2" name="окно доставки с" dataDxfId="20"/>
    <tableColumn id="3" name="окно доставки по" dataDxfId="21"/>
    <tableColumn id="4" name="приоритет доставки" dataDxfId="22"/>
    <tableColumn id="5" name="временной промежуток разгрузки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G1:H2" totalsRowShown="0">
  <autoFilter xmlns:etc="http://www.wps.cn/officeDocument/2017/etCustomData" ref="G1:H2" etc:filterBottomFollowUsedRange="0"/>
  <tableColumns count="2">
    <tableColumn id="1" name="средняя цена за единицу продукции" dataDxfId="23"/>
    <tableColumn id="2" name="кол-во ед. в ящике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T175"/>
  <sheetViews>
    <sheetView zoomScale="68" zoomScaleNormal="68" topLeftCell="E1" workbookViewId="0">
      <selection activeCell="H124" sqref="H124"/>
    </sheetView>
  </sheetViews>
  <sheetFormatPr defaultColWidth="9.11111111111111" defaultRowHeight="10.2"/>
  <cols>
    <col min="1" max="1" width="5.33333333333333" style="11" customWidth="1"/>
    <col min="2" max="2" width="9.88888888888889" style="11" customWidth="1"/>
    <col min="3" max="3" width="32.8888888888889" style="11" customWidth="1"/>
    <col min="4" max="5" width="38" style="11" customWidth="1"/>
    <col min="6" max="6" width="20.6666666666667" style="11" customWidth="1"/>
    <col min="7" max="7" width="19.4444444444444" style="11" customWidth="1"/>
    <col min="8" max="8" width="15.5555555555556" style="11" customWidth="1"/>
    <col min="9" max="9" width="11.3333333333333" style="11" customWidth="1"/>
    <col min="10" max="10" width="15.3333333333333" style="11" customWidth="1"/>
    <col min="11" max="13" width="13.3333333333333" style="12" customWidth="1"/>
    <col min="14" max="14" width="15.8888888888889" style="12" customWidth="1"/>
    <col min="15" max="20" width="13.3333333333333" style="12" customWidth="1"/>
    <col min="21" max="16384" width="9.11111111111111" style="11"/>
  </cols>
  <sheetData>
    <row r="1" s="9" customFormat="1" ht="43.2" spans="1:20">
      <c r="A1" s="9" t="s">
        <v>0</v>
      </c>
      <c r="B1" s="9" t="s">
        <v>1</v>
      </c>
      <c r="C1" s="13" t="s">
        <v>2</v>
      </c>
      <c r="D1" s="13" t="s">
        <v>3</v>
      </c>
      <c r="E1" s="13" t="s">
        <v>4</v>
      </c>
      <c r="F1" s="14" t="s">
        <v>5</v>
      </c>
      <c r="G1" s="14" t="s">
        <v>6</v>
      </c>
      <c r="H1" s="13" t="s">
        <v>7</v>
      </c>
      <c r="I1" s="14" t="s">
        <v>8</v>
      </c>
      <c r="J1" s="14" t="s">
        <v>9</v>
      </c>
      <c r="K1" s="22" t="s">
        <v>10</v>
      </c>
      <c r="L1" s="22" t="s">
        <v>11</v>
      </c>
      <c r="M1" s="22" t="s">
        <v>12</v>
      </c>
      <c r="N1" s="22" t="s">
        <v>13</v>
      </c>
      <c r="O1" s="22" t="s">
        <v>14</v>
      </c>
      <c r="P1" s="22" t="s">
        <v>15</v>
      </c>
      <c r="Q1" s="22" t="s">
        <v>16</v>
      </c>
      <c r="R1" s="22" t="s">
        <v>17</v>
      </c>
      <c r="S1" s="22" t="s">
        <v>18</v>
      </c>
      <c r="T1" s="22" t="s">
        <v>19</v>
      </c>
    </row>
    <row r="2" ht="28.8" spans="1:20">
      <c r="A2" s="10">
        <f>SUBTOTAL(3,C$1:C1)</f>
        <v>1</v>
      </c>
      <c r="B2" s="15">
        <v>741</v>
      </c>
      <c r="C2" s="7" t="s">
        <v>20</v>
      </c>
      <c r="D2" s="16" t="s">
        <v>21</v>
      </c>
      <c r="E2" s="16" t="s">
        <v>22</v>
      </c>
      <c r="F2" s="10" t="s">
        <v>23</v>
      </c>
      <c r="H2" s="10" t="s">
        <v>24</v>
      </c>
      <c r="I2" s="15">
        <f>VLOOKUP(Таблица2[[#This Row],[канал сбыта]],справочники!A:D,4,0)</f>
        <v>3</v>
      </c>
      <c r="J2" s="23">
        <f>VLOOKUP(Таблица2[[#This Row],[канал сбыта]],справочники!A:E,5,0)</f>
        <v>0.00347222222222222</v>
      </c>
      <c r="K2" s="24">
        <f>VLOOKUP(Таблица2[[#This Row],[канал сбыта]],справочники!A:E,2,0)</f>
        <v>0.333333333333333</v>
      </c>
      <c r="L2" s="24">
        <f>VLOOKUP(Таблица2[[#This Row],[канал сбыта]],справочники!A:E,3,0)</f>
        <v>0.416666666666667</v>
      </c>
      <c r="M2" s="24">
        <v>0.25</v>
      </c>
      <c r="N2" s="25"/>
      <c r="O2" s="26">
        <v>1106</v>
      </c>
      <c r="P2" s="27">
        <f>IFERROR(Таблица2[[#This Row],[сумма отгрузки текущая]]/40,"")</f>
        <v>27.65</v>
      </c>
      <c r="Q2" s="35">
        <f>IFERROR(ROUNDUP(Таблица2[[#This Row],[кол-во ед. продукции]]/20,0),"")</f>
        <v>2</v>
      </c>
      <c r="R2" s="26">
        <f>O2*IF(ABS((N2-M2)*1440)&gt;180,IF((N2-M2)*1440&gt;0,0.85,1.1),IF(ABS((N2-M2)*1440)&gt;120,IF((N2-M2)*1440&gt;0,0.93,1.07),IF(ABS((N2-M2)*1440)&gt;60,IF((N2-M2)*1440&gt;0,0.97,1.03),1)))</f>
        <v>1216.6</v>
      </c>
      <c r="S2" s="27">
        <f>IFERROR(Таблица2[[#This Row],[сумма отгрузки план]]/40,"")</f>
        <v>30.415</v>
      </c>
      <c r="T2" s="36">
        <f>IFERROR(ROUNDUP(Таблица2[[#This Row],[кол-во продукции план]]/20,0),"")</f>
        <v>2</v>
      </c>
    </row>
    <row r="3" ht="28.8" spans="1:20">
      <c r="A3" s="10">
        <f>SUBTOTAL(3,C$1:C2)</f>
        <v>2</v>
      </c>
      <c r="B3" s="15" t="s">
        <v>25</v>
      </c>
      <c r="C3" s="7" t="s">
        <v>26</v>
      </c>
      <c r="D3" s="16" t="s">
        <v>27</v>
      </c>
      <c r="E3" s="17" t="s">
        <v>28</v>
      </c>
      <c r="F3" s="10" t="s">
        <v>23</v>
      </c>
      <c r="H3" s="10" t="s">
        <v>24</v>
      </c>
      <c r="I3" s="15">
        <f>VLOOKUP(Таблица2[[#This Row],[канал сбыта]],справочники!A:D,4,0)</f>
        <v>3</v>
      </c>
      <c r="J3" s="23">
        <f>VLOOKUP(Таблица2[[#This Row],[канал сбыта]],справочники!A:E,5,0)</f>
        <v>0.00347222222222222</v>
      </c>
      <c r="K3" s="24">
        <f>VLOOKUP(Таблица2[[#This Row],[канал сбыта]],справочники!A:E,2,0)</f>
        <v>0.333333333333333</v>
      </c>
      <c r="L3" s="24">
        <f>VLOOKUP(Таблица2[[#This Row],[канал сбыта]],справочники!A:E,3,0)</f>
        <v>0.416666666666667</v>
      </c>
      <c r="M3" s="24">
        <v>0.253472222222222</v>
      </c>
      <c r="N3" s="25"/>
      <c r="O3" s="26">
        <v>615</v>
      </c>
      <c r="P3" s="27">
        <f>IFERROR(Таблица2[[#This Row],[сумма отгрузки текущая]]/40,"")</f>
        <v>15.375</v>
      </c>
      <c r="Q3" s="35">
        <f>IFERROR(ROUNDUP(Таблица2[[#This Row],[кол-во ед. продукции]]/20,0),"")</f>
        <v>1</v>
      </c>
      <c r="R3" s="26">
        <f t="shared" ref="R3:R66" si="0">O3*IF(ABS((N3-M3)*1440)&gt;180,IF((N3-M3)*1440&gt;0,0.85,1.1),IF(ABS((N3-M3)*1440)&gt;120,IF((N3-M3)*1440&gt;0,0.93,1.07),IF(ABS((N3-M3)*1440)&gt;60,IF((N3-M3)*1440&gt;0,0.97,1.03),1)))</f>
        <v>676.5</v>
      </c>
      <c r="S3" s="27">
        <f>IFERROR(Таблица2[[#This Row],[сумма отгрузки план]]/40,"")</f>
        <v>16.9125</v>
      </c>
      <c r="T3" s="36">
        <f>IFERROR(ROUNDUP(Таблица2[[#This Row],[кол-во продукции план]]/20,0),"")</f>
        <v>1</v>
      </c>
    </row>
    <row r="4" ht="28.8" spans="1:20">
      <c r="A4" s="10">
        <f>SUBTOTAL(3,C$1:C3)</f>
        <v>3</v>
      </c>
      <c r="B4" s="15">
        <v>742</v>
      </c>
      <c r="C4" s="7" t="s">
        <v>29</v>
      </c>
      <c r="D4" s="16" t="s">
        <v>30</v>
      </c>
      <c r="E4" s="16" t="s">
        <v>22</v>
      </c>
      <c r="F4" s="10" t="s">
        <v>23</v>
      </c>
      <c r="H4" s="10" t="s">
        <v>24</v>
      </c>
      <c r="I4" s="15">
        <f>VLOOKUP(Таблица2[[#This Row],[канал сбыта]],справочники!A:D,4,0)</f>
        <v>3</v>
      </c>
      <c r="J4" s="23">
        <f>VLOOKUP(Таблица2[[#This Row],[канал сбыта]],справочники!A:E,5,0)</f>
        <v>0.00347222222222222</v>
      </c>
      <c r="K4" s="24">
        <f>VLOOKUP(Таблица2[[#This Row],[канал сбыта]],справочники!A:E,2,0)</f>
        <v>0.333333333333333</v>
      </c>
      <c r="L4" s="24">
        <f>VLOOKUP(Таблица2[[#This Row],[канал сбыта]],справочники!A:E,3,0)</f>
        <v>0.416666666666667</v>
      </c>
      <c r="M4" s="24">
        <v>0.256944444444444</v>
      </c>
      <c r="N4" s="25"/>
      <c r="O4" s="26">
        <v>1897</v>
      </c>
      <c r="P4" s="27">
        <f>IFERROR(Таблица2[[#This Row],[сумма отгрузки текущая]]/40,"")</f>
        <v>47.425</v>
      </c>
      <c r="Q4" s="35">
        <f>IFERROR(ROUNDUP(Таблица2[[#This Row],[кол-во ед. продукции]]/20,0),"")</f>
        <v>3</v>
      </c>
      <c r="R4" s="26">
        <f t="shared" si="0"/>
        <v>2086.7</v>
      </c>
      <c r="S4" s="27">
        <f>IFERROR(Таблица2[[#This Row],[сумма отгрузки план]]/40,"")</f>
        <v>52.1675</v>
      </c>
      <c r="T4" s="36">
        <f>IFERROR(ROUNDUP(Таблица2[[#This Row],[кол-во продукции план]]/20,0),"")</f>
        <v>3</v>
      </c>
    </row>
    <row r="5" ht="28.8" spans="1:20">
      <c r="A5" s="10">
        <f>SUBTOTAL(3,C$1:C4)</f>
        <v>4</v>
      </c>
      <c r="B5" s="15" t="s">
        <v>31</v>
      </c>
      <c r="C5" s="7" t="s">
        <v>32</v>
      </c>
      <c r="D5" s="16" t="s">
        <v>33</v>
      </c>
      <c r="E5" s="17" t="s">
        <v>34</v>
      </c>
      <c r="F5" s="10" t="s">
        <v>23</v>
      </c>
      <c r="H5" s="10" t="s">
        <v>35</v>
      </c>
      <c r="I5" s="15">
        <f>VLOOKUP(Таблица2[[#This Row],[канал сбыта]],справочники!A:D,4,0)</f>
        <v>1</v>
      </c>
      <c r="J5" s="23">
        <f>VLOOKUP(Таблица2[[#This Row],[канал сбыта]],справочники!A:E,5,0)</f>
        <v>0.00486111111111111</v>
      </c>
      <c r="K5" s="24">
        <f>VLOOKUP(Таблица2[[#This Row],[канал сбыта]],справочники!A:E,2,0)</f>
        <v>0.208333333333333</v>
      </c>
      <c r="L5" s="24">
        <f>VLOOKUP(Таблица2[[#This Row],[канал сбыта]],справочники!A:E,3,0)</f>
        <v>0.333333333333333</v>
      </c>
      <c r="M5" s="24">
        <v>0.270833333333333</v>
      </c>
      <c r="N5" s="25"/>
      <c r="O5" s="26">
        <v>2884</v>
      </c>
      <c r="P5" s="27">
        <f>IFERROR(Таблица2[[#This Row],[сумма отгрузки текущая]]/40,"")</f>
        <v>72.1</v>
      </c>
      <c r="Q5" s="35">
        <f>IFERROR(ROUNDUP(Таблица2[[#This Row],[кол-во ед. продукции]]/20,0),"")</f>
        <v>4</v>
      </c>
      <c r="R5" s="26">
        <f t="shared" si="0"/>
        <v>3172.4</v>
      </c>
      <c r="S5" s="27">
        <f>IFERROR(Таблица2[[#This Row],[сумма отгрузки план]]/40,"")</f>
        <v>79.31</v>
      </c>
      <c r="T5" s="36">
        <f>IFERROR(ROUNDUP(Таблица2[[#This Row],[кол-во продукции план]]/20,0),"")</f>
        <v>4</v>
      </c>
    </row>
    <row r="6" ht="28.8" spans="1:20">
      <c r="A6" s="10">
        <f>SUBTOTAL(3,C$1:C5)</f>
        <v>5</v>
      </c>
      <c r="B6" s="15" t="s">
        <v>36</v>
      </c>
      <c r="C6" s="7" t="s">
        <v>37</v>
      </c>
      <c r="D6" s="16" t="s">
        <v>38</v>
      </c>
      <c r="E6" s="17" t="s">
        <v>39</v>
      </c>
      <c r="F6" s="10" t="s">
        <v>23</v>
      </c>
      <c r="H6" s="10" t="s">
        <v>24</v>
      </c>
      <c r="I6" s="15">
        <f>VLOOKUP(Таблица2[[#This Row],[канал сбыта]],справочники!A:D,4,0)</f>
        <v>3</v>
      </c>
      <c r="J6" s="23">
        <f>VLOOKUP(Таблица2[[#This Row],[канал сбыта]],справочники!A:E,5,0)</f>
        <v>0.00347222222222222</v>
      </c>
      <c r="K6" s="24">
        <f>VLOOKUP(Таблица2[[#This Row],[канал сбыта]],справочники!A:E,2,0)</f>
        <v>0.333333333333333</v>
      </c>
      <c r="L6" s="24">
        <f>VLOOKUP(Таблица2[[#This Row],[канал сбыта]],справочники!A:E,3,0)</f>
        <v>0.416666666666667</v>
      </c>
      <c r="M6" s="24">
        <v>0.284722222222222</v>
      </c>
      <c r="N6" s="25"/>
      <c r="O6" s="26">
        <v>1397</v>
      </c>
      <c r="P6" s="27">
        <f>IFERROR(Таблица2[[#This Row],[сумма отгрузки текущая]]/40,"")</f>
        <v>34.925</v>
      </c>
      <c r="Q6" s="35">
        <f>IFERROR(ROUNDUP(Таблица2[[#This Row],[кол-во ед. продукции]]/20,0),"")</f>
        <v>2</v>
      </c>
      <c r="R6" s="26">
        <f t="shared" si="0"/>
        <v>1536.7</v>
      </c>
      <c r="S6" s="27">
        <f>IFERROR(Таблица2[[#This Row],[сумма отгрузки план]]/40,"")</f>
        <v>38.4175</v>
      </c>
      <c r="T6" s="36">
        <f>IFERROR(ROUNDUP(Таблица2[[#This Row],[кол-во продукции план]]/20,0),"")</f>
        <v>2</v>
      </c>
    </row>
    <row r="7" ht="28.8" spans="1:20">
      <c r="A7" s="10">
        <f>SUBTOTAL(3,C$1:C6)</f>
        <v>6</v>
      </c>
      <c r="B7" s="15">
        <v>1025</v>
      </c>
      <c r="C7" s="7" t="s">
        <v>40</v>
      </c>
      <c r="D7" s="16" t="s">
        <v>41</v>
      </c>
      <c r="E7" s="17" t="s">
        <v>42</v>
      </c>
      <c r="F7" s="10" t="s">
        <v>23</v>
      </c>
      <c r="H7" s="10" t="s">
        <v>24</v>
      </c>
      <c r="I7" s="15">
        <f>VLOOKUP(Таблица2[[#This Row],[канал сбыта]],справочники!A:D,4,0)</f>
        <v>3</v>
      </c>
      <c r="J7" s="23">
        <f>VLOOKUP(Таблица2[[#This Row],[канал сбыта]],справочники!A:E,5,0)</f>
        <v>0.00347222222222222</v>
      </c>
      <c r="K7" s="24">
        <f>VLOOKUP(Таблица2[[#This Row],[канал сбыта]],справочники!A:E,2,0)</f>
        <v>0.333333333333333</v>
      </c>
      <c r="L7" s="24">
        <f>VLOOKUP(Таблица2[[#This Row],[канал сбыта]],справочники!A:E,3,0)</f>
        <v>0.416666666666667</v>
      </c>
      <c r="M7" s="24">
        <v>0.291666666666667</v>
      </c>
      <c r="N7" s="25"/>
      <c r="O7" s="26">
        <v>580</v>
      </c>
      <c r="P7" s="27">
        <f>IFERROR(Таблица2[[#This Row],[сумма отгрузки текущая]]/40,"")</f>
        <v>14.5</v>
      </c>
      <c r="Q7" s="35">
        <f>IFERROR(ROUNDUP(Таблица2[[#This Row],[кол-во ед. продукции]]/20,0),"")</f>
        <v>1</v>
      </c>
      <c r="R7" s="26">
        <f t="shared" si="0"/>
        <v>638</v>
      </c>
      <c r="S7" s="27">
        <f>IFERROR(Таблица2[[#This Row],[сумма отгрузки план]]/40,"")</f>
        <v>15.95</v>
      </c>
      <c r="T7" s="36">
        <f>IFERROR(ROUNDUP(Таблица2[[#This Row],[кол-во продукции план]]/20,0),"")</f>
        <v>1</v>
      </c>
    </row>
    <row r="8" ht="28.8" spans="1:20">
      <c r="A8" s="10">
        <f>SUBTOTAL(3,C$1:C7)</f>
        <v>7</v>
      </c>
      <c r="B8" s="15" t="s">
        <v>43</v>
      </c>
      <c r="C8" s="7" t="s">
        <v>44</v>
      </c>
      <c r="D8" s="16" t="s">
        <v>45</v>
      </c>
      <c r="E8" s="17" t="s">
        <v>46</v>
      </c>
      <c r="F8" s="10" t="s">
        <v>23</v>
      </c>
      <c r="H8" s="10" t="s">
        <v>24</v>
      </c>
      <c r="I8" s="15">
        <f>VLOOKUP(Таблица2[[#This Row],[канал сбыта]],справочники!A:D,4,0)</f>
        <v>3</v>
      </c>
      <c r="J8" s="23">
        <f>VLOOKUP(Таблица2[[#This Row],[канал сбыта]],справочники!A:E,5,0)</f>
        <v>0.00347222222222222</v>
      </c>
      <c r="K8" s="24">
        <f>VLOOKUP(Таблица2[[#This Row],[канал сбыта]],справочники!A:E,2,0)</f>
        <v>0.333333333333333</v>
      </c>
      <c r="L8" s="24">
        <f>VLOOKUP(Таблица2[[#This Row],[канал сбыта]],справочники!A:E,3,0)</f>
        <v>0.416666666666667</v>
      </c>
      <c r="M8" s="24">
        <v>0.305555555555556</v>
      </c>
      <c r="N8" s="25"/>
      <c r="O8" s="26">
        <v>530</v>
      </c>
      <c r="P8" s="27">
        <f>IFERROR(Таблица2[[#This Row],[сумма отгрузки текущая]]/40,"")</f>
        <v>13.25</v>
      </c>
      <c r="Q8" s="35">
        <f>IFERROR(ROUNDUP(Таблица2[[#This Row],[кол-во ед. продукции]]/20,0),"")</f>
        <v>1</v>
      </c>
      <c r="R8" s="26">
        <f t="shared" si="0"/>
        <v>583</v>
      </c>
      <c r="S8" s="27">
        <f>IFERROR(Таблица2[[#This Row],[сумма отгрузки план]]/40,"")</f>
        <v>14.575</v>
      </c>
      <c r="T8" s="36">
        <f>IFERROR(ROUNDUP(Таблица2[[#This Row],[кол-во продукции план]]/20,0),"")</f>
        <v>1</v>
      </c>
    </row>
    <row r="9" ht="28.8" spans="1:20">
      <c r="A9" s="10">
        <f>SUBTOTAL(3,C$1:C8)</f>
        <v>8</v>
      </c>
      <c r="B9" s="15" t="s">
        <v>47</v>
      </c>
      <c r="C9" s="7" t="s">
        <v>48</v>
      </c>
      <c r="D9" s="16" t="s">
        <v>49</v>
      </c>
      <c r="E9" s="17" t="s">
        <v>50</v>
      </c>
      <c r="F9" s="10" t="s">
        <v>23</v>
      </c>
      <c r="H9" s="10" t="s">
        <v>51</v>
      </c>
      <c r="I9" s="15">
        <f>VLOOKUP(Таблица2[[#This Row],[канал сбыта]],справочники!A:D,4,0)</f>
        <v>3</v>
      </c>
      <c r="J9" s="23">
        <f>VLOOKUP(Таблица2[[#This Row],[канал сбыта]],справочники!A:E,5,0)</f>
        <v>0.00486111111111111</v>
      </c>
      <c r="K9" s="24">
        <f>VLOOKUP(Таблица2[[#This Row],[канал сбыта]],справочники!A:E,2,0)</f>
        <v>0.333333333333333</v>
      </c>
      <c r="L9" s="24">
        <f>VLOOKUP(Таблица2[[#This Row],[канал сбыта]],справочники!A:E,3,0)</f>
        <v>0.5</v>
      </c>
      <c r="M9" s="24">
        <v>0.3125</v>
      </c>
      <c r="N9" s="25"/>
      <c r="O9" s="26">
        <v>826.66</v>
      </c>
      <c r="P9" s="27">
        <f>IFERROR(Таблица2[[#This Row],[сумма отгрузки текущая]]/40,"")</f>
        <v>20.6665</v>
      </c>
      <c r="Q9" s="35">
        <f>IFERROR(ROUNDUP(Таблица2[[#This Row],[кол-во ед. продукции]]/20,0),"")</f>
        <v>2</v>
      </c>
      <c r="R9" s="26">
        <f t="shared" si="0"/>
        <v>909.326</v>
      </c>
      <c r="S9" s="27">
        <f>IFERROR(Таблица2[[#This Row],[сумма отгрузки план]]/40,"")</f>
        <v>22.73315</v>
      </c>
      <c r="T9" s="36">
        <f>IFERROR(ROUNDUP(Таблица2[[#This Row],[кол-во продукции план]]/20,0),"")</f>
        <v>2</v>
      </c>
    </row>
    <row r="10" ht="28.8" spans="1:20">
      <c r="A10" s="10">
        <f>SUBTOTAL(3,C$1:C9)</f>
        <v>9</v>
      </c>
      <c r="B10" s="15">
        <v>1468</v>
      </c>
      <c r="C10" s="7" t="s">
        <v>52</v>
      </c>
      <c r="D10" s="16" t="s">
        <v>53</v>
      </c>
      <c r="E10" s="17" t="s">
        <v>54</v>
      </c>
      <c r="F10" s="10" t="s">
        <v>23</v>
      </c>
      <c r="H10" s="10" t="s">
        <v>55</v>
      </c>
      <c r="I10" s="15">
        <f>VLOOKUP(Таблица2[[#This Row],[канал сбыта]],справочники!A:D,4,0)</f>
        <v>3</v>
      </c>
      <c r="J10" s="23">
        <f>VLOOKUP(Таблица2[[#This Row],[канал сбыта]],справочники!A:E,5,0)</f>
        <v>0.00486111111111111</v>
      </c>
      <c r="K10" s="24">
        <f>VLOOKUP(Таблица2[[#This Row],[канал сбыта]],справочники!A:E,2,0)</f>
        <v>0.333333333333333</v>
      </c>
      <c r="L10" s="24">
        <f>VLOOKUP(Таблица2[[#This Row],[канал сбыта]],справочники!A:E,3,0)</f>
        <v>0.5</v>
      </c>
      <c r="M10" s="24">
        <v>0.326388888888889</v>
      </c>
      <c r="N10" s="25"/>
      <c r="O10" s="26">
        <v>7810</v>
      </c>
      <c r="P10" s="27">
        <f>IFERROR(Таблица2[[#This Row],[сумма отгрузки текущая]]/40,"")</f>
        <v>195.25</v>
      </c>
      <c r="Q10" s="35">
        <f>IFERROR(ROUNDUP(Таблица2[[#This Row],[кол-во ед. продукции]]/20,0),"")</f>
        <v>10</v>
      </c>
      <c r="R10" s="26">
        <f t="shared" si="0"/>
        <v>8591</v>
      </c>
      <c r="S10" s="27">
        <f>IFERROR(Таблица2[[#This Row],[сумма отгрузки план]]/40,"")</f>
        <v>214.775</v>
      </c>
      <c r="T10" s="36">
        <f>IFERROR(ROUNDUP(Таблица2[[#This Row],[кол-во продукции план]]/20,0),"")</f>
        <v>11</v>
      </c>
    </row>
    <row r="11" ht="28.8" spans="1:20">
      <c r="A11" s="10">
        <f>SUBTOTAL(3,C$1:C10)</f>
        <v>10</v>
      </c>
      <c r="B11" s="15" t="s">
        <v>56</v>
      </c>
      <c r="C11" s="7" t="s">
        <v>57</v>
      </c>
      <c r="D11" s="16" t="s">
        <v>58</v>
      </c>
      <c r="E11" s="17" t="s">
        <v>59</v>
      </c>
      <c r="F11" s="10" t="s">
        <v>23</v>
      </c>
      <c r="H11" s="10" t="s">
        <v>55</v>
      </c>
      <c r="I11" s="15">
        <f>VLOOKUP(Таблица2[[#This Row],[канал сбыта]],справочники!A:D,4,0)</f>
        <v>3</v>
      </c>
      <c r="J11" s="23">
        <f>VLOOKUP(Таблица2[[#This Row],[канал сбыта]],справочники!A:E,5,0)</f>
        <v>0.00486111111111111</v>
      </c>
      <c r="K11" s="24">
        <f>VLOOKUP(Таблица2[[#This Row],[канал сбыта]],справочники!A:E,2,0)</f>
        <v>0.333333333333333</v>
      </c>
      <c r="L11" s="24">
        <f>VLOOKUP(Таблица2[[#This Row],[канал сбыта]],справочники!A:E,3,0)</f>
        <v>0.5</v>
      </c>
      <c r="M11" s="24">
        <v>0.340277777777778</v>
      </c>
      <c r="N11" s="25"/>
      <c r="O11" s="26">
        <v>4686</v>
      </c>
      <c r="P11" s="27">
        <f>IFERROR(Таблица2[[#This Row],[сумма отгрузки текущая]]/40,"")</f>
        <v>117.15</v>
      </c>
      <c r="Q11" s="35">
        <f>IFERROR(ROUNDUP(Таблица2[[#This Row],[кол-во ед. продукции]]/20,0),"")</f>
        <v>6</v>
      </c>
      <c r="R11" s="26">
        <f t="shared" si="0"/>
        <v>5154.6</v>
      </c>
      <c r="S11" s="27">
        <f>IFERROR(Таблица2[[#This Row],[сумма отгрузки план]]/40,"")</f>
        <v>128.865</v>
      </c>
      <c r="T11" s="36">
        <f>IFERROR(ROUNDUP(Таблица2[[#This Row],[кол-во продукции план]]/20,0),"")</f>
        <v>7</v>
      </c>
    </row>
    <row r="12" ht="28.8" spans="1:20">
      <c r="A12" s="10">
        <f>SUBTOTAL(3,C$1:C11)</f>
        <v>11</v>
      </c>
      <c r="B12" s="15" t="s">
        <v>60</v>
      </c>
      <c r="C12" s="7" t="s">
        <v>61</v>
      </c>
      <c r="D12" s="16" t="s">
        <v>62</v>
      </c>
      <c r="E12" s="17" t="s">
        <v>28</v>
      </c>
      <c r="F12" s="10" t="s">
        <v>23</v>
      </c>
      <c r="H12" s="10" t="s">
        <v>63</v>
      </c>
      <c r="I12" s="15">
        <f>VLOOKUP(Таблица2[[#This Row],[канал сбыта]],справочники!A:D,4,0)</f>
        <v>3</v>
      </c>
      <c r="J12" s="23">
        <f>VLOOKUP(Таблица2[[#This Row],[канал сбыта]],справочники!A:E,5,0)</f>
        <v>0.00694444444444444</v>
      </c>
      <c r="K12" s="24">
        <f>VLOOKUP(Таблица2[[#This Row],[канал сбыта]],справочники!A:E,2,0)</f>
        <v>0.375</v>
      </c>
      <c r="L12" s="24">
        <f>VLOOKUP(Таблица2[[#This Row],[канал сбыта]],справочники!A:E,3,0)</f>
        <v>0.5</v>
      </c>
      <c r="M12" s="24">
        <v>0.354166666666667</v>
      </c>
      <c r="N12" s="25"/>
      <c r="O12" s="26">
        <v>8146</v>
      </c>
      <c r="P12" s="27">
        <f>IFERROR(Таблица2[[#This Row],[сумма отгрузки текущая]]/40,"")</f>
        <v>203.65</v>
      </c>
      <c r="Q12" s="35">
        <f>IFERROR(ROUNDUP(Таблица2[[#This Row],[кол-во ед. продукции]]/20,0),"")</f>
        <v>11</v>
      </c>
      <c r="R12" s="26">
        <f t="shared" si="0"/>
        <v>8960.6</v>
      </c>
      <c r="S12" s="27">
        <f>IFERROR(Таблица2[[#This Row],[сумма отгрузки план]]/40,"")</f>
        <v>224.015</v>
      </c>
      <c r="T12" s="36">
        <f>IFERROR(ROUNDUP(Таблица2[[#This Row],[кол-во продукции план]]/20,0),"")</f>
        <v>12</v>
      </c>
    </row>
    <row r="13" ht="28.8" spans="1:20">
      <c r="A13" s="10">
        <f>SUBTOTAL(3,C$1:C12)</f>
        <v>12</v>
      </c>
      <c r="B13" s="15">
        <v>1249</v>
      </c>
      <c r="C13" s="7" t="s">
        <v>64</v>
      </c>
      <c r="D13" s="16" t="s">
        <v>65</v>
      </c>
      <c r="E13" s="17" t="s">
        <v>66</v>
      </c>
      <c r="F13" s="10" t="s">
        <v>23</v>
      </c>
      <c r="H13" s="10" t="s">
        <v>24</v>
      </c>
      <c r="I13" s="15">
        <f>VLOOKUP(Таблица2[[#This Row],[канал сбыта]],справочники!A:D,4,0)</f>
        <v>3</v>
      </c>
      <c r="J13" s="23">
        <f>VLOOKUP(Таблица2[[#This Row],[канал сбыта]],справочники!A:E,5,0)</f>
        <v>0.00347222222222222</v>
      </c>
      <c r="K13" s="24">
        <f>VLOOKUP(Таблица2[[#This Row],[канал сбыта]],справочники!A:E,2,0)</f>
        <v>0.333333333333333</v>
      </c>
      <c r="L13" s="24">
        <f>VLOOKUP(Таблица2[[#This Row],[канал сбыта]],справочники!A:E,3,0)</f>
        <v>0.416666666666667</v>
      </c>
      <c r="M13" s="24">
        <v>0.368055555555556</v>
      </c>
      <c r="N13" s="25"/>
      <c r="O13" s="26">
        <v>342</v>
      </c>
      <c r="P13" s="27">
        <f>IFERROR(Таблица2[[#This Row],[сумма отгрузки текущая]]/40,"")</f>
        <v>8.55</v>
      </c>
      <c r="Q13" s="35">
        <f>IFERROR(ROUNDUP(Таблица2[[#This Row],[кол-во ед. продукции]]/20,0),"")</f>
        <v>1</v>
      </c>
      <c r="R13" s="26">
        <f t="shared" si="0"/>
        <v>376.2</v>
      </c>
      <c r="S13" s="27">
        <f>IFERROR(Таблица2[[#This Row],[сумма отгрузки план]]/40,"")</f>
        <v>9.405</v>
      </c>
      <c r="T13" s="36">
        <f>IFERROR(ROUNDUP(Таблица2[[#This Row],[кол-во продукции план]]/20,0),"")</f>
        <v>1</v>
      </c>
    </row>
    <row r="14" ht="28.8" spans="1:20">
      <c r="A14" s="10">
        <f>SUBTOTAL(3,C$1:C13)</f>
        <v>13</v>
      </c>
      <c r="B14" s="15" t="s">
        <v>67</v>
      </c>
      <c r="C14" s="7" t="s">
        <v>68</v>
      </c>
      <c r="D14" s="16" t="s">
        <v>69</v>
      </c>
      <c r="E14" s="17" t="s">
        <v>70</v>
      </c>
      <c r="F14" s="10" t="s">
        <v>23</v>
      </c>
      <c r="H14" s="10" t="s">
        <v>24</v>
      </c>
      <c r="I14" s="15">
        <f>VLOOKUP(Таблица2[[#This Row],[канал сбыта]],справочники!A:D,4,0)</f>
        <v>3</v>
      </c>
      <c r="J14" s="23">
        <f>VLOOKUP(Таблица2[[#This Row],[канал сбыта]],справочники!A:E,5,0)</f>
        <v>0.00347222222222222</v>
      </c>
      <c r="K14" s="24">
        <f>VLOOKUP(Таблица2[[#This Row],[канал сбыта]],справочники!A:E,2,0)</f>
        <v>0.333333333333333</v>
      </c>
      <c r="L14" s="24">
        <f>VLOOKUP(Таблица2[[#This Row],[канал сбыта]],справочники!A:E,3,0)</f>
        <v>0.416666666666667</v>
      </c>
      <c r="M14" s="24">
        <v>0.381944444444444</v>
      </c>
      <c r="N14" s="25"/>
      <c r="O14" s="26">
        <v>537</v>
      </c>
      <c r="P14" s="27">
        <f>IFERROR(Таблица2[[#This Row],[сумма отгрузки текущая]]/40,"")</f>
        <v>13.425</v>
      </c>
      <c r="Q14" s="35">
        <f>IFERROR(ROUNDUP(Таблица2[[#This Row],[кол-во ед. продукции]]/20,0),"")</f>
        <v>1</v>
      </c>
      <c r="R14" s="26">
        <f t="shared" si="0"/>
        <v>590.7</v>
      </c>
      <c r="S14" s="27">
        <f>IFERROR(Таблица2[[#This Row],[сумма отгрузки план]]/40,"")</f>
        <v>14.7675</v>
      </c>
      <c r="T14" s="36">
        <f>IFERROR(ROUNDUP(Таблица2[[#This Row],[кол-во продукции план]]/20,0),"")</f>
        <v>1</v>
      </c>
    </row>
    <row r="15" ht="28.8" spans="1:20">
      <c r="A15" s="10">
        <f>SUBTOTAL(3,C$1:C14)</f>
        <v>14</v>
      </c>
      <c r="B15" s="15" t="s">
        <v>71</v>
      </c>
      <c r="C15" s="7" t="s">
        <v>72</v>
      </c>
      <c r="D15" s="16" t="s">
        <v>73</v>
      </c>
      <c r="E15" s="17" t="s">
        <v>74</v>
      </c>
      <c r="F15" s="10" t="s">
        <v>23</v>
      </c>
      <c r="H15" s="10" t="s">
        <v>55</v>
      </c>
      <c r="I15" s="15">
        <f>VLOOKUP(Таблица2[[#This Row],[канал сбыта]],справочники!A:D,4,0)</f>
        <v>3</v>
      </c>
      <c r="J15" s="23">
        <f>VLOOKUP(Таблица2[[#This Row],[канал сбыта]],справочники!A:E,5,0)</f>
        <v>0.00486111111111111</v>
      </c>
      <c r="K15" s="24">
        <f>VLOOKUP(Таблица2[[#This Row],[канал сбыта]],справочники!A:E,2,0)</f>
        <v>0.333333333333333</v>
      </c>
      <c r="L15" s="24">
        <f>VLOOKUP(Таблица2[[#This Row],[канал сбыта]],справочники!A:E,3,0)</f>
        <v>0.5</v>
      </c>
      <c r="M15" s="24">
        <v>0.392361111111111</v>
      </c>
      <c r="N15" s="25"/>
      <c r="O15" s="26">
        <v>7503.89</v>
      </c>
      <c r="P15" s="27">
        <f>IFERROR(Таблица2[[#This Row],[сумма отгрузки текущая]]/40,"")</f>
        <v>187.59725</v>
      </c>
      <c r="Q15" s="35">
        <f>IFERROR(ROUNDUP(Таблица2[[#This Row],[кол-во ед. продукции]]/20,0),"")</f>
        <v>10</v>
      </c>
      <c r="R15" s="26">
        <f t="shared" si="0"/>
        <v>8254.279</v>
      </c>
      <c r="S15" s="27">
        <f>IFERROR(Таблица2[[#This Row],[сумма отгрузки план]]/40,"")</f>
        <v>206.356975</v>
      </c>
      <c r="T15" s="36">
        <f>IFERROR(ROUNDUP(Таблица2[[#This Row],[кол-во продукции план]]/20,0),"")</f>
        <v>11</v>
      </c>
    </row>
    <row r="16" ht="28.8" spans="1:20">
      <c r="A16" s="10">
        <f>SUBTOTAL(3,C$1:C15)</f>
        <v>15</v>
      </c>
      <c r="B16" s="15" t="s">
        <v>75</v>
      </c>
      <c r="C16" s="7" t="s">
        <v>76</v>
      </c>
      <c r="D16" s="16" t="s">
        <v>77</v>
      </c>
      <c r="E16" s="17" t="s">
        <v>78</v>
      </c>
      <c r="F16" s="10" t="s">
        <v>23</v>
      </c>
      <c r="H16" s="10" t="s">
        <v>24</v>
      </c>
      <c r="I16" s="15">
        <f>VLOOKUP(Таблица2[[#This Row],[канал сбыта]],справочники!A:D,4,0)</f>
        <v>3</v>
      </c>
      <c r="J16" s="23">
        <f>VLOOKUP(Таблица2[[#This Row],[канал сбыта]],справочники!A:E,5,0)</f>
        <v>0.00347222222222222</v>
      </c>
      <c r="K16" s="24">
        <f>VLOOKUP(Таблица2[[#This Row],[канал сбыта]],справочники!A:E,2,0)</f>
        <v>0.333333333333333</v>
      </c>
      <c r="L16" s="24">
        <f>VLOOKUP(Таблица2[[#This Row],[канал сбыта]],справочники!A:E,3,0)</f>
        <v>0.416666666666667</v>
      </c>
      <c r="M16" s="24">
        <v>0.402777777777778</v>
      </c>
      <c r="N16" s="25"/>
      <c r="O16" s="26">
        <v>698</v>
      </c>
      <c r="P16" s="27">
        <f>IFERROR(Таблица2[[#This Row],[сумма отгрузки текущая]]/40,"")</f>
        <v>17.45</v>
      </c>
      <c r="Q16" s="35">
        <f>IFERROR(ROUNDUP(Таблица2[[#This Row],[кол-во ед. продукции]]/20,0),"")</f>
        <v>1</v>
      </c>
      <c r="R16" s="26">
        <f t="shared" si="0"/>
        <v>767.8</v>
      </c>
      <c r="S16" s="27">
        <f>IFERROR(Таблица2[[#This Row],[сумма отгрузки план]]/40,"")</f>
        <v>19.195</v>
      </c>
      <c r="T16" s="36">
        <f>IFERROR(ROUNDUP(Таблица2[[#This Row],[кол-во продукции план]]/20,0),"")</f>
        <v>1</v>
      </c>
    </row>
    <row r="17" ht="28.8" spans="1:20">
      <c r="A17" s="10">
        <f>SUBTOTAL(3,C$1:C16)</f>
        <v>16</v>
      </c>
      <c r="B17" s="15" t="s">
        <v>79</v>
      </c>
      <c r="C17" s="7" t="s">
        <v>80</v>
      </c>
      <c r="D17" s="16" t="s">
        <v>81</v>
      </c>
      <c r="E17" s="17" t="s">
        <v>82</v>
      </c>
      <c r="F17" s="10" t="s">
        <v>23</v>
      </c>
      <c r="H17" s="10" t="s">
        <v>55</v>
      </c>
      <c r="I17" s="15">
        <f>VLOOKUP(Таблица2[[#This Row],[канал сбыта]],справочники!A:D,4,0)</f>
        <v>3</v>
      </c>
      <c r="J17" s="23">
        <f>VLOOKUP(Таблица2[[#This Row],[канал сбыта]],справочники!A:E,5,0)</f>
        <v>0.00486111111111111</v>
      </c>
      <c r="K17" s="24">
        <f>VLOOKUP(Таблица2[[#This Row],[канал сбыта]],справочники!A:E,2,0)</f>
        <v>0.333333333333333</v>
      </c>
      <c r="L17" s="24">
        <f>VLOOKUP(Таблица2[[#This Row],[канал сбыта]],справочники!A:E,3,0)</f>
        <v>0.5</v>
      </c>
      <c r="M17" s="24">
        <v>0.416666666666667</v>
      </c>
      <c r="N17" s="25"/>
      <c r="O17" s="26">
        <v>7866.48</v>
      </c>
      <c r="P17" s="27">
        <f>IFERROR(Таблица2[[#This Row],[сумма отгрузки текущая]]/40,"")</f>
        <v>196.662</v>
      </c>
      <c r="Q17" s="35">
        <f>IFERROR(ROUNDUP(Таблица2[[#This Row],[кол-во ед. продукции]]/20,0),"")</f>
        <v>10</v>
      </c>
      <c r="R17" s="26">
        <f t="shared" si="0"/>
        <v>8653.128</v>
      </c>
      <c r="S17" s="27">
        <f>IFERROR(Таблица2[[#This Row],[сумма отгрузки план]]/40,"")</f>
        <v>216.3282</v>
      </c>
      <c r="T17" s="36">
        <f>IFERROR(ROUNDUP(Таблица2[[#This Row],[кол-во продукции план]]/20,0),"")</f>
        <v>11</v>
      </c>
    </row>
    <row r="18" ht="28.8" spans="1:20">
      <c r="A18" s="10">
        <f>SUBTOTAL(3,C$1:C17)</f>
        <v>17</v>
      </c>
      <c r="B18" s="15" t="s">
        <v>83</v>
      </c>
      <c r="C18" s="7" t="s">
        <v>84</v>
      </c>
      <c r="D18" s="16" t="s">
        <v>85</v>
      </c>
      <c r="E18" s="17" t="s">
        <v>86</v>
      </c>
      <c r="F18" s="10" t="s">
        <v>23</v>
      </c>
      <c r="H18" s="10" t="s">
        <v>24</v>
      </c>
      <c r="I18" s="15">
        <f>VLOOKUP(Таблица2[[#This Row],[канал сбыта]],справочники!A:D,4,0)</f>
        <v>3</v>
      </c>
      <c r="J18" s="23">
        <f>VLOOKUP(Таблица2[[#This Row],[канал сбыта]],справочники!A:E,5,0)</f>
        <v>0.00347222222222222</v>
      </c>
      <c r="K18" s="24">
        <f>VLOOKUP(Таблица2[[#This Row],[канал сбыта]],справочники!A:E,2,0)</f>
        <v>0.333333333333333</v>
      </c>
      <c r="L18" s="24">
        <f>VLOOKUP(Таблица2[[#This Row],[канал сбыта]],справочники!A:E,3,0)</f>
        <v>0.416666666666667</v>
      </c>
      <c r="M18" s="24">
        <v>0.427083333333333</v>
      </c>
      <c r="N18" s="25"/>
      <c r="O18" s="26">
        <v>1951</v>
      </c>
      <c r="P18" s="27">
        <f>IFERROR(Таблица2[[#This Row],[сумма отгрузки текущая]]/40,"")</f>
        <v>48.775</v>
      </c>
      <c r="Q18" s="35">
        <f>IFERROR(ROUNDUP(Таблица2[[#This Row],[кол-во ед. продукции]]/20,0),"")</f>
        <v>3</v>
      </c>
      <c r="R18" s="26">
        <f t="shared" si="0"/>
        <v>2146.1</v>
      </c>
      <c r="S18" s="27">
        <f>IFERROR(Таблица2[[#This Row],[сумма отгрузки план]]/40,"")</f>
        <v>53.6525</v>
      </c>
      <c r="T18" s="36">
        <f>IFERROR(ROUNDUP(Таблица2[[#This Row],[кол-во продукции план]]/20,0),"")</f>
        <v>3</v>
      </c>
    </row>
    <row r="19" ht="43.2" spans="1:20">
      <c r="A19" s="10">
        <f>SUBTOTAL(3,C$1:C18)</f>
        <v>18</v>
      </c>
      <c r="B19" s="15" t="s">
        <v>87</v>
      </c>
      <c r="C19" s="7" t="s">
        <v>88</v>
      </c>
      <c r="D19" s="16" t="s">
        <v>89</v>
      </c>
      <c r="E19" s="17" t="s">
        <v>90</v>
      </c>
      <c r="F19" s="10" t="s">
        <v>23</v>
      </c>
      <c r="H19" s="10" t="s">
        <v>91</v>
      </c>
      <c r="I19" s="15">
        <f>VLOOKUP(Таблица2[[#This Row],[канал сбыта]],справочники!A:D,4,0)</f>
        <v>3</v>
      </c>
      <c r="J19" s="23">
        <f>VLOOKUP(Таблица2[[#This Row],[канал сбыта]],справочники!A:E,5,0)</f>
        <v>0.00486111111111111</v>
      </c>
      <c r="K19" s="24">
        <f>VLOOKUP(Таблица2[[#This Row],[канал сбыта]],справочники!A:E,2,0)</f>
        <v>0.333333333333333</v>
      </c>
      <c r="L19" s="24">
        <f>VLOOKUP(Таблица2[[#This Row],[канал сбыта]],справочники!A:E,3,0)</f>
        <v>0.458333333333333</v>
      </c>
      <c r="M19" s="24">
        <v>0.434027777777778</v>
      </c>
      <c r="N19" s="25"/>
      <c r="O19" s="26">
        <v>2481</v>
      </c>
      <c r="P19" s="27">
        <f>IFERROR(Таблица2[[#This Row],[сумма отгрузки текущая]]/40,"")</f>
        <v>62.025</v>
      </c>
      <c r="Q19" s="35">
        <f>IFERROR(ROUNDUP(Таблица2[[#This Row],[кол-во ед. продукции]]/20,0),"")</f>
        <v>4</v>
      </c>
      <c r="R19" s="26">
        <f t="shared" si="0"/>
        <v>2729.1</v>
      </c>
      <c r="S19" s="27">
        <f>IFERROR(Таблица2[[#This Row],[сумма отгрузки план]]/40,"")</f>
        <v>68.2275</v>
      </c>
      <c r="T19" s="36">
        <f>IFERROR(ROUNDUP(Таблица2[[#This Row],[кол-во продукции план]]/20,0),"")</f>
        <v>4</v>
      </c>
    </row>
    <row r="20" ht="28.8" spans="1:20">
      <c r="A20" s="10">
        <f>SUBTOTAL(3,C$1:C19)</f>
        <v>19</v>
      </c>
      <c r="B20" s="15" t="s">
        <v>92</v>
      </c>
      <c r="C20" s="7" t="s">
        <v>93</v>
      </c>
      <c r="D20" s="16" t="s">
        <v>94</v>
      </c>
      <c r="E20" s="17" t="s">
        <v>95</v>
      </c>
      <c r="F20" s="10" t="s">
        <v>23</v>
      </c>
      <c r="H20" s="10" t="s">
        <v>63</v>
      </c>
      <c r="I20" s="15">
        <f>VLOOKUP(Таблица2[[#This Row],[канал сбыта]],справочники!A:D,4,0)</f>
        <v>3</v>
      </c>
      <c r="J20" s="23">
        <f>VLOOKUP(Таблица2[[#This Row],[канал сбыта]],справочники!A:E,5,0)</f>
        <v>0.00694444444444444</v>
      </c>
      <c r="K20" s="24">
        <f>VLOOKUP(Таблица2[[#This Row],[канал сбыта]],справочники!A:E,2,0)</f>
        <v>0.375</v>
      </c>
      <c r="L20" s="24">
        <f>VLOOKUP(Таблица2[[#This Row],[канал сбыта]],справочники!A:E,3,0)</f>
        <v>0.5</v>
      </c>
      <c r="M20" s="24">
        <v>0.440972222222222</v>
      </c>
      <c r="N20" s="25"/>
      <c r="O20" s="26">
        <v>6033</v>
      </c>
      <c r="P20" s="27">
        <f>IFERROR(Таблица2[[#This Row],[сумма отгрузки текущая]]/40,"")</f>
        <v>150.825</v>
      </c>
      <c r="Q20" s="35">
        <f>IFERROR(ROUNDUP(Таблица2[[#This Row],[кол-во ед. продукции]]/20,0),"")</f>
        <v>8</v>
      </c>
      <c r="R20" s="26">
        <f t="shared" si="0"/>
        <v>6636.3</v>
      </c>
      <c r="S20" s="27">
        <f>IFERROR(Таблица2[[#This Row],[сумма отгрузки план]]/40,"")</f>
        <v>165.9075</v>
      </c>
      <c r="T20" s="36">
        <f>IFERROR(ROUNDUP(Таблица2[[#This Row],[кол-во продукции план]]/20,0),"")</f>
        <v>9</v>
      </c>
    </row>
    <row r="21" ht="28.8" spans="1:20">
      <c r="A21" s="10">
        <f>SUBTOTAL(3,C$1:C20)</f>
        <v>20</v>
      </c>
      <c r="B21" s="15" t="s">
        <v>96</v>
      </c>
      <c r="C21" s="7" t="s">
        <v>97</v>
      </c>
      <c r="D21" s="16" t="s">
        <v>98</v>
      </c>
      <c r="E21" s="17" t="s">
        <v>99</v>
      </c>
      <c r="F21" s="10" t="s">
        <v>23</v>
      </c>
      <c r="H21" s="10" t="s">
        <v>55</v>
      </c>
      <c r="I21" s="15">
        <f>VLOOKUP(Таблица2[[#This Row],[канал сбыта]],справочники!A:D,4,0)</f>
        <v>3</v>
      </c>
      <c r="J21" s="23">
        <f>VLOOKUP(Таблица2[[#This Row],[канал сбыта]],справочники!A:E,5,0)</f>
        <v>0.00486111111111111</v>
      </c>
      <c r="K21" s="24">
        <f>VLOOKUP(Таблица2[[#This Row],[канал сбыта]],справочники!A:E,2,0)</f>
        <v>0.333333333333333</v>
      </c>
      <c r="L21" s="24">
        <f>VLOOKUP(Таблица2[[#This Row],[канал сбыта]],справочники!A:E,3,0)</f>
        <v>0.5</v>
      </c>
      <c r="M21" s="24">
        <v>0.451388888888889</v>
      </c>
      <c r="N21" s="25"/>
      <c r="O21" s="26">
        <v>3273</v>
      </c>
      <c r="P21" s="27">
        <f>IFERROR(Таблица2[[#This Row],[сумма отгрузки текущая]]/40,"")</f>
        <v>81.825</v>
      </c>
      <c r="Q21" s="35">
        <f>IFERROR(ROUNDUP(Таблица2[[#This Row],[кол-во ед. продукции]]/20,0),"")</f>
        <v>5</v>
      </c>
      <c r="R21" s="26">
        <f t="shared" si="0"/>
        <v>3600.3</v>
      </c>
      <c r="S21" s="27">
        <f>IFERROR(Таблица2[[#This Row],[сумма отгрузки план]]/40,"")</f>
        <v>90.0075</v>
      </c>
      <c r="T21" s="36">
        <f>IFERROR(ROUNDUP(Таблица2[[#This Row],[кол-во продукции план]]/20,0),"")</f>
        <v>5</v>
      </c>
    </row>
    <row r="22" ht="28.8" spans="1:20">
      <c r="A22" s="10">
        <f>SUBTOTAL(3,C$1:C21)</f>
        <v>21</v>
      </c>
      <c r="B22" s="15" t="s">
        <v>100</v>
      </c>
      <c r="C22" s="7" t="s">
        <v>101</v>
      </c>
      <c r="D22" s="16" t="s">
        <v>102</v>
      </c>
      <c r="E22" s="17" t="s">
        <v>103</v>
      </c>
      <c r="F22" s="10" t="s">
        <v>23</v>
      </c>
      <c r="H22" s="10" t="s">
        <v>55</v>
      </c>
      <c r="I22" s="15">
        <f>VLOOKUP(Таблица2[[#This Row],[канал сбыта]],справочники!A:D,4,0)</f>
        <v>3</v>
      </c>
      <c r="J22" s="23">
        <f>VLOOKUP(Таблица2[[#This Row],[канал сбыта]],справочники!A:E,5,0)</f>
        <v>0.00486111111111111</v>
      </c>
      <c r="K22" s="24">
        <f>VLOOKUP(Таблица2[[#This Row],[канал сбыта]],справочники!A:E,2,0)</f>
        <v>0.333333333333333</v>
      </c>
      <c r="L22" s="24">
        <f>VLOOKUP(Таблица2[[#This Row],[канал сбыта]],справочники!A:E,3,0)</f>
        <v>0.5</v>
      </c>
      <c r="M22" s="24">
        <v>0.461805555555556</v>
      </c>
      <c r="N22" s="25"/>
      <c r="O22" s="26">
        <v>6255</v>
      </c>
      <c r="P22" s="27">
        <f>IFERROR(Таблица2[[#This Row],[сумма отгрузки текущая]]/40,"")</f>
        <v>156.375</v>
      </c>
      <c r="Q22" s="35">
        <f>IFERROR(ROUNDUP(Таблица2[[#This Row],[кол-во ед. продукции]]/20,0),"")</f>
        <v>8</v>
      </c>
      <c r="R22" s="26">
        <f t="shared" si="0"/>
        <v>6880.5</v>
      </c>
      <c r="S22" s="27">
        <f>IFERROR(Таблица2[[#This Row],[сумма отгрузки план]]/40,"")</f>
        <v>172.0125</v>
      </c>
      <c r="T22" s="36">
        <f>IFERROR(ROUNDUP(Таблица2[[#This Row],[кол-во продукции план]]/20,0),"")</f>
        <v>9</v>
      </c>
    </row>
    <row r="23" ht="28.8" spans="1:20">
      <c r="A23" s="10">
        <f>SUBTOTAL(3,C$1:C22)</f>
        <v>22</v>
      </c>
      <c r="B23" s="15" t="s">
        <v>104</v>
      </c>
      <c r="C23" s="7" t="s">
        <v>105</v>
      </c>
      <c r="D23" s="16" t="s">
        <v>106</v>
      </c>
      <c r="E23" s="17" t="s">
        <v>107</v>
      </c>
      <c r="F23" s="10" t="s">
        <v>23</v>
      </c>
      <c r="H23" s="10" t="s">
        <v>108</v>
      </c>
      <c r="I23" s="15">
        <f>VLOOKUP(Таблица2[[#This Row],[канал сбыта]],справочники!A:D,4,0)</f>
        <v>3</v>
      </c>
      <c r="J23" s="23">
        <f>VLOOKUP(Таблица2[[#This Row],[канал сбыта]],справочники!A:E,5,0)</f>
        <v>0.00486111111111111</v>
      </c>
      <c r="K23" s="24">
        <f>VLOOKUP(Таблица2[[#This Row],[канал сбыта]],справочники!A:E,2,0)</f>
        <v>0.375</v>
      </c>
      <c r="L23" s="24">
        <f>VLOOKUP(Таблица2[[#This Row],[канал сбыта]],справочники!A:E,3,0)</f>
        <v>0.520833333333333</v>
      </c>
      <c r="M23" s="24">
        <v>0.472222222222222</v>
      </c>
      <c r="N23" s="25"/>
      <c r="O23" s="26">
        <v>1245</v>
      </c>
      <c r="P23" s="27">
        <f>IFERROR(Таблица2[[#This Row],[сумма отгрузки текущая]]/40,"")</f>
        <v>31.125</v>
      </c>
      <c r="Q23" s="35">
        <f>IFERROR(ROUNDUP(Таблица2[[#This Row],[кол-во ед. продукции]]/20,0),"")</f>
        <v>2</v>
      </c>
      <c r="R23" s="26">
        <f t="shared" si="0"/>
        <v>1369.5</v>
      </c>
      <c r="S23" s="27">
        <f>IFERROR(Таблица2[[#This Row],[сумма отгрузки план]]/40,"")</f>
        <v>34.2375</v>
      </c>
      <c r="T23" s="36">
        <f>IFERROR(ROUNDUP(Таблица2[[#This Row],[кол-во продукции план]]/20,0),"")</f>
        <v>2</v>
      </c>
    </row>
    <row r="24" ht="28.8" spans="1:20">
      <c r="A24" s="10">
        <f>SUBTOTAL(3,C$1:C23)</f>
        <v>23</v>
      </c>
      <c r="B24" s="15" t="s">
        <v>109</v>
      </c>
      <c r="C24" s="7" t="s">
        <v>110</v>
      </c>
      <c r="D24" s="16" t="s">
        <v>111</v>
      </c>
      <c r="E24" s="17" t="s">
        <v>112</v>
      </c>
      <c r="F24" s="10" t="s">
        <v>113</v>
      </c>
      <c r="H24" s="18" t="s">
        <v>24</v>
      </c>
      <c r="I24" s="28">
        <f>VLOOKUP(Таблица2[[#This Row],[канал сбыта]],справочники!A:D,4,0)</f>
        <v>3</v>
      </c>
      <c r="J24" s="29">
        <f>VLOOKUP(Таблица2[[#This Row],[канал сбыта]],справочники!A:E,5,0)</f>
        <v>0.00347222222222222</v>
      </c>
      <c r="K24" s="30">
        <f>VLOOKUP(Таблица2[[#This Row],[канал сбыта]],справочники!A:E,2,0)</f>
        <v>0.333333333333333</v>
      </c>
      <c r="L24" s="30">
        <f>VLOOKUP(Таблица2[[#This Row],[канал сбыта]],справочники!A:E,3,0)</f>
        <v>0.416666666666667</v>
      </c>
      <c r="M24" s="24">
        <v>0.25</v>
      </c>
      <c r="N24" s="25"/>
      <c r="O24" s="26">
        <v>699</v>
      </c>
      <c r="P24" s="27">
        <f>IFERROR(Таблица2[[#This Row],[сумма отгрузки текущая]]/40,"")</f>
        <v>17.475</v>
      </c>
      <c r="Q24" s="35">
        <f>IFERROR(ROUNDUP(Таблица2[[#This Row],[кол-во ед. продукции]]/20,0),"")</f>
        <v>1</v>
      </c>
      <c r="R24" s="26">
        <f t="shared" si="0"/>
        <v>768.9</v>
      </c>
      <c r="S24" s="27">
        <f>IFERROR(Таблица2[[#This Row],[сумма отгрузки план]]/40,"")</f>
        <v>19.2225</v>
      </c>
      <c r="T24" s="36">
        <f>IFERROR(ROUNDUP(Таблица2[[#This Row],[кол-во продукции план]]/20,0),"")</f>
        <v>1</v>
      </c>
    </row>
    <row r="25" ht="28.8" spans="1:20">
      <c r="A25" s="10">
        <f>SUBTOTAL(3,C$1:C24)</f>
        <v>24</v>
      </c>
      <c r="B25" s="15" t="s">
        <v>114</v>
      </c>
      <c r="C25" s="7" t="s">
        <v>115</v>
      </c>
      <c r="D25" s="16" t="s">
        <v>116</v>
      </c>
      <c r="E25" s="17" t="s">
        <v>117</v>
      </c>
      <c r="F25" s="10" t="s">
        <v>113</v>
      </c>
      <c r="H25" s="18" t="s">
        <v>35</v>
      </c>
      <c r="I25" s="28">
        <f>VLOOKUP(Таблица2[[#This Row],[канал сбыта]],справочники!A:D,4,0)</f>
        <v>1</v>
      </c>
      <c r="J25" s="29">
        <f>VLOOKUP(Таблица2[[#This Row],[канал сбыта]],справочники!A:E,5,0)</f>
        <v>0.00486111111111111</v>
      </c>
      <c r="K25" s="30">
        <f>VLOOKUP(Таблица2[[#This Row],[канал сбыта]],справочники!A:E,2,0)</f>
        <v>0.208333333333333</v>
      </c>
      <c r="L25" s="30">
        <f>VLOOKUP(Таблица2[[#This Row],[канал сбыта]],справочники!A:E,3,0)</f>
        <v>0.333333333333333</v>
      </c>
      <c r="M25" s="24">
        <v>0.256944444444444</v>
      </c>
      <c r="N25" s="25"/>
      <c r="O25" s="26">
        <v>236.5</v>
      </c>
      <c r="P25" s="27">
        <f>IFERROR(Таблица2[[#This Row],[сумма отгрузки текущая]]/40,"")</f>
        <v>5.9125</v>
      </c>
      <c r="Q25" s="35">
        <f>IFERROR(ROUNDUP(Таблица2[[#This Row],[кол-во ед. продукции]]/20,0),"")</f>
        <v>1</v>
      </c>
      <c r="R25" s="26">
        <f t="shared" si="0"/>
        <v>260.15</v>
      </c>
      <c r="S25" s="27">
        <f>IFERROR(Таблица2[[#This Row],[сумма отгрузки план]]/40,"")</f>
        <v>6.50375</v>
      </c>
      <c r="T25" s="36">
        <f>IFERROR(ROUNDUP(Таблица2[[#This Row],[кол-во продукции план]]/20,0),"")</f>
        <v>1</v>
      </c>
    </row>
    <row r="26" ht="28.8" spans="1:20">
      <c r="A26" s="10">
        <f>SUBTOTAL(3,C$1:C25)</f>
        <v>25</v>
      </c>
      <c r="B26" s="15" t="s">
        <v>118</v>
      </c>
      <c r="C26" s="7" t="s">
        <v>119</v>
      </c>
      <c r="D26" s="16" t="s">
        <v>120</v>
      </c>
      <c r="E26" s="17" t="s">
        <v>121</v>
      </c>
      <c r="F26" s="10" t="s">
        <v>113</v>
      </c>
      <c r="H26" s="18" t="s">
        <v>35</v>
      </c>
      <c r="I26" s="28">
        <f>VLOOKUP(Таблица2[[#This Row],[канал сбыта]],справочники!A:D,4,0)</f>
        <v>1</v>
      </c>
      <c r="J26" s="29">
        <f>VLOOKUP(Таблица2[[#This Row],[канал сбыта]],справочники!A:E,5,0)</f>
        <v>0.00486111111111111</v>
      </c>
      <c r="K26" s="30">
        <f>VLOOKUP(Таблица2[[#This Row],[канал сбыта]],справочники!A:E,2,0)</f>
        <v>0.208333333333333</v>
      </c>
      <c r="L26" s="30">
        <f>VLOOKUP(Таблица2[[#This Row],[канал сбыта]],справочники!A:E,3,0)</f>
        <v>0.333333333333333</v>
      </c>
      <c r="M26" s="24">
        <v>0.263888888888889</v>
      </c>
      <c r="N26" s="25"/>
      <c r="O26" s="26">
        <v>295.5</v>
      </c>
      <c r="P26" s="27">
        <f>IFERROR(Таблица2[[#This Row],[сумма отгрузки текущая]]/40,"")</f>
        <v>7.3875</v>
      </c>
      <c r="Q26" s="35">
        <f>IFERROR(ROUNDUP(Таблица2[[#This Row],[кол-во ед. продукции]]/20,0),"")</f>
        <v>1</v>
      </c>
      <c r="R26" s="26">
        <f t="shared" si="0"/>
        <v>325.05</v>
      </c>
      <c r="S26" s="27">
        <f>IFERROR(Таблица2[[#This Row],[сумма отгрузки план]]/40,"")</f>
        <v>8.12625</v>
      </c>
      <c r="T26" s="36">
        <f>IFERROR(ROUNDUP(Таблица2[[#This Row],[кол-во продукции план]]/20,0),"")</f>
        <v>1</v>
      </c>
    </row>
    <row r="27" ht="28.8" spans="1:20">
      <c r="A27" s="10">
        <f>SUBTOTAL(3,C$1:C26)</f>
        <v>26</v>
      </c>
      <c r="B27" s="15" t="s">
        <v>122</v>
      </c>
      <c r="C27" s="7" t="s">
        <v>123</v>
      </c>
      <c r="D27" s="16" t="s">
        <v>124</v>
      </c>
      <c r="E27" s="17" t="s">
        <v>125</v>
      </c>
      <c r="F27" s="10" t="s">
        <v>113</v>
      </c>
      <c r="H27" s="18" t="s">
        <v>35</v>
      </c>
      <c r="I27" s="28">
        <f>VLOOKUP(Таблица2[[#This Row],[канал сбыта]],справочники!A:D,4,0)</f>
        <v>1</v>
      </c>
      <c r="J27" s="29">
        <f>VLOOKUP(Таблица2[[#This Row],[канал сбыта]],справочники!A:E,5,0)</f>
        <v>0.00486111111111111</v>
      </c>
      <c r="K27" s="30">
        <f>VLOOKUP(Таблица2[[#This Row],[канал сбыта]],справочники!A:E,2,0)</f>
        <v>0.208333333333333</v>
      </c>
      <c r="L27" s="30">
        <f>VLOOKUP(Таблица2[[#This Row],[канал сбыта]],справочники!A:E,3,0)</f>
        <v>0.333333333333333</v>
      </c>
      <c r="M27" s="24">
        <v>0.277777777777778</v>
      </c>
      <c r="N27" s="25"/>
      <c r="O27" s="26">
        <v>4215</v>
      </c>
      <c r="P27" s="27">
        <f>IFERROR(Таблица2[[#This Row],[сумма отгрузки текущая]]/40,"")</f>
        <v>105.375</v>
      </c>
      <c r="Q27" s="35">
        <f>IFERROR(ROUNDUP(Таблица2[[#This Row],[кол-во ед. продукции]]/20,0),"")</f>
        <v>6</v>
      </c>
      <c r="R27" s="26">
        <f t="shared" si="0"/>
        <v>4636.5</v>
      </c>
      <c r="S27" s="27">
        <f>IFERROR(Таблица2[[#This Row],[сумма отгрузки план]]/40,"")</f>
        <v>115.9125</v>
      </c>
      <c r="T27" s="36">
        <f>IFERROR(ROUNDUP(Таблица2[[#This Row],[кол-во продукции план]]/20,0),"")</f>
        <v>6</v>
      </c>
    </row>
    <row r="28" ht="28.8" spans="1:20">
      <c r="A28" s="10">
        <f>SUBTOTAL(3,C$1:C27)</f>
        <v>27</v>
      </c>
      <c r="B28" s="15" t="s">
        <v>126</v>
      </c>
      <c r="C28" s="7" t="s">
        <v>127</v>
      </c>
      <c r="D28" s="16" t="s">
        <v>128</v>
      </c>
      <c r="E28" s="17" t="s">
        <v>129</v>
      </c>
      <c r="F28" s="10" t="s">
        <v>113</v>
      </c>
      <c r="H28" s="18" t="s">
        <v>130</v>
      </c>
      <c r="I28" s="28">
        <f>VLOOKUP(Таблица2[[#This Row],[канал сбыта]],справочники!A:D,4,0)</f>
        <v>2</v>
      </c>
      <c r="J28" s="29">
        <f>VLOOKUP(Таблица2[[#This Row],[канал сбыта]],справочники!A:E,5,0)</f>
        <v>0.0138888888888889</v>
      </c>
      <c r="K28" s="30">
        <f>VLOOKUP(Таблица2[[#This Row],[канал сбыта]],справочники!A:E,2,0)</f>
        <v>0.291666666666667</v>
      </c>
      <c r="L28" s="30">
        <f>VLOOKUP(Таблица2[[#This Row],[канал сбыта]],справочники!A:E,3,0)</f>
        <v>0.333333333333333</v>
      </c>
      <c r="M28" s="24">
        <v>0.288194444444444</v>
      </c>
      <c r="N28" s="25"/>
      <c r="O28" s="26">
        <v>7126</v>
      </c>
      <c r="P28" s="27">
        <f>IFERROR(Таблица2[[#This Row],[сумма отгрузки текущая]]/40,"")</f>
        <v>178.15</v>
      </c>
      <c r="Q28" s="35">
        <f>IFERROR(ROUNDUP(Таблица2[[#This Row],[кол-во ед. продукции]]/20,0),"")</f>
        <v>9</v>
      </c>
      <c r="R28" s="26">
        <f t="shared" si="0"/>
        <v>7838.6</v>
      </c>
      <c r="S28" s="27">
        <f>IFERROR(Таблица2[[#This Row],[сумма отгрузки план]]/40,"")</f>
        <v>195.965</v>
      </c>
      <c r="T28" s="36">
        <f>IFERROR(ROUNDUP(Таблица2[[#This Row],[кол-во продукции план]]/20,0),"")</f>
        <v>10</v>
      </c>
    </row>
    <row r="29" ht="14.4" spans="1:20">
      <c r="A29" s="10">
        <f>SUBTOTAL(3,C$1:C28)</f>
        <v>28</v>
      </c>
      <c r="B29" s="15" t="s">
        <v>131</v>
      </c>
      <c r="C29" s="7" t="s">
        <v>132</v>
      </c>
      <c r="D29" s="16" t="s">
        <v>133</v>
      </c>
      <c r="E29" s="17" t="s">
        <v>134</v>
      </c>
      <c r="F29" s="10" t="s">
        <v>113</v>
      </c>
      <c r="H29" s="18" t="s">
        <v>24</v>
      </c>
      <c r="I29" s="28">
        <f>VLOOKUP(Таблица2[[#This Row],[канал сбыта]],справочники!A:D,4,0)</f>
        <v>3</v>
      </c>
      <c r="J29" s="29">
        <f>VLOOKUP(Таблица2[[#This Row],[канал сбыта]],справочники!A:E,5,0)</f>
        <v>0.00347222222222222</v>
      </c>
      <c r="K29" s="30">
        <f>VLOOKUP(Таблица2[[#This Row],[канал сбыта]],справочники!A:E,2,0)</f>
        <v>0.333333333333333</v>
      </c>
      <c r="L29" s="30">
        <f>VLOOKUP(Таблица2[[#This Row],[канал сбыта]],справочники!A:E,3,0)</f>
        <v>0.416666666666667</v>
      </c>
      <c r="M29" s="24">
        <v>0.302083333333333</v>
      </c>
      <c r="N29" s="25"/>
      <c r="O29" s="26">
        <v>252</v>
      </c>
      <c r="P29" s="27">
        <f>IFERROR(Таблица2[[#This Row],[сумма отгрузки текущая]]/40,"")</f>
        <v>6.3</v>
      </c>
      <c r="Q29" s="35">
        <f>IFERROR(ROUNDUP(Таблица2[[#This Row],[кол-во ед. продукции]]/20,0),"")</f>
        <v>1</v>
      </c>
      <c r="R29" s="26">
        <f t="shared" si="0"/>
        <v>277.2</v>
      </c>
      <c r="S29" s="27">
        <f>IFERROR(Таблица2[[#This Row],[сумма отгрузки план]]/40,"")</f>
        <v>6.93</v>
      </c>
      <c r="T29" s="36">
        <f>IFERROR(ROUNDUP(Таблица2[[#This Row],[кол-во продукции план]]/20,0),"")</f>
        <v>1</v>
      </c>
    </row>
    <row r="30" ht="28.8" spans="1:20">
      <c r="A30" s="10">
        <f>SUBTOTAL(3,C$1:C29)</f>
        <v>29</v>
      </c>
      <c r="B30" s="15">
        <v>877</v>
      </c>
      <c r="C30" s="7" t="s">
        <v>135</v>
      </c>
      <c r="D30" s="16" t="s">
        <v>136</v>
      </c>
      <c r="E30" s="17" t="s">
        <v>137</v>
      </c>
      <c r="F30" s="10" t="s">
        <v>113</v>
      </c>
      <c r="H30" s="18" t="s">
        <v>55</v>
      </c>
      <c r="I30" s="28">
        <f>VLOOKUP(Таблица2[[#This Row],[канал сбыта]],справочники!A:D,4,0)</f>
        <v>3</v>
      </c>
      <c r="J30" s="29">
        <f>VLOOKUP(Таблица2[[#This Row],[канал сбыта]],справочники!A:E,5,0)</f>
        <v>0.00486111111111111</v>
      </c>
      <c r="K30" s="30">
        <f>VLOOKUP(Таблица2[[#This Row],[канал сбыта]],справочники!A:E,2,0)</f>
        <v>0.333333333333333</v>
      </c>
      <c r="L30" s="30">
        <f>VLOOKUP(Таблица2[[#This Row],[канал сбыта]],справочники!A:E,3,0)</f>
        <v>0.5</v>
      </c>
      <c r="M30" s="24">
        <v>0.3125</v>
      </c>
      <c r="N30" s="25"/>
      <c r="O30" s="26">
        <v>5274</v>
      </c>
      <c r="P30" s="27">
        <f>IFERROR(Таблица2[[#This Row],[сумма отгрузки текущая]]/40,"")</f>
        <v>131.85</v>
      </c>
      <c r="Q30" s="35">
        <f>IFERROR(ROUNDUP(Таблица2[[#This Row],[кол-во ед. продукции]]/20,0),"")</f>
        <v>7</v>
      </c>
      <c r="R30" s="26">
        <f t="shared" si="0"/>
        <v>5801.4</v>
      </c>
      <c r="S30" s="27">
        <f>IFERROR(Таблица2[[#This Row],[сумма отгрузки план]]/40,"")</f>
        <v>145.035</v>
      </c>
      <c r="T30" s="36">
        <f>IFERROR(ROUNDUP(Таблица2[[#This Row],[кол-во продукции план]]/20,0),"")</f>
        <v>8</v>
      </c>
    </row>
    <row r="31" ht="28.8" spans="1:20">
      <c r="A31" s="10">
        <f>SUBTOTAL(3,C$1:C30)</f>
        <v>30</v>
      </c>
      <c r="B31" s="15" t="s">
        <v>138</v>
      </c>
      <c r="C31" s="7" t="s">
        <v>139</v>
      </c>
      <c r="D31" s="16" t="s">
        <v>140</v>
      </c>
      <c r="E31" s="17" t="s">
        <v>141</v>
      </c>
      <c r="F31" s="10" t="s">
        <v>113</v>
      </c>
      <c r="H31" s="18" t="s">
        <v>24</v>
      </c>
      <c r="I31" s="28">
        <f>VLOOKUP(Таблица2[[#This Row],[канал сбыта]],справочники!A:D,4,0)</f>
        <v>3</v>
      </c>
      <c r="J31" s="29">
        <f>VLOOKUP(Таблица2[[#This Row],[канал сбыта]],справочники!A:E,5,0)</f>
        <v>0.00347222222222222</v>
      </c>
      <c r="K31" s="30">
        <f>VLOOKUP(Таблица2[[#This Row],[канал сбыта]],справочники!A:E,2,0)</f>
        <v>0.333333333333333</v>
      </c>
      <c r="L31" s="30">
        <f>VLOOKUP(Таблица2[[#This Row],[канал сбыта]],справочники!A:E,3,0)</f>
        <v>0.416666666666667</v>
      </c>
      <c r="M31" s="24">
        <v>0.322916666666667</v>
      </c>
      <c r="N31" s="25"/>
      <c r="O31" s="26">
        <v>487</v>
      </c>
      <c r="P31" s="27">
        <f>IFERROR(Таблица2[[#This Row],[сумма отгрузки текущая]]/40,"")</f>
        <v>12.175</v>
      </c>
      <c r="Q31" s="35">
        <f>IFERROR(ROUNDUP(Таблица2[[#This Row],[кол-во ед. продукции]]/20,0),"")</f>
        <v>1</v>
      </c>
      <c r="R31" s="26">
        <f t="shared" si="0"/>
        <v>535.7</v>
      </c>
      <c r="S31" s="27">
        <f>IFERROR(Таблица2[[#This Row],[сумма отгрузки план]]/40,"")</f>
        <v>13.3925</v>
      </c>
      <c r="T31" s="36">
        <f>IFERROR(ROUNDUP(Таблица2[[#This Row],[кол-во продукции план]]/20,0),"")</f>
        <v>1</v>
      </c>
    </row>
    <row r="32" ht="28.8" spans="1:20">
      <c r="A32" s="10">
        <f>SUBTOTAL(3,C$1:C31)</f>
        <v>31</v>
      </c>
      <c r="B32" s="15" t="s">
        <v>142</v>
      </c>
      <c r="C32" s="7" t="s">
        <v>143</v>
      </c>
      <c r="D32" s="16" t="s">
        <v>144</v>
      </c>
      <c r="E32" s="17" t="s">
        <v>145</v>
      </c>
      <c r="F32" s="10" t="s">
        <v>113</v>
      </c>
      <c r="H32" s="18" t="s">
        <v>63</v>
      </c>
      <c r="I32" s="28">
        <f>VLOOKUP(Таблица2[[#This Row],[канал сбыта]],справочники!A:D,4,0)</f>
        <v>3</v>
      </c>
      <c r="J32" s="29">
        <f>VLOOKUP(Таблица2[[#This Row],[канал сбыта]],справочники!A:E,5,0)</f>
        <v>0.00694444444444444</v>
      </c>
      <c r="K32" s="30">
        <f>VLOOKUP(Таблица2[[#This Row],[канал сбыта]],справочники!A:E,2,0)</f>
        <v>0.375</v>
      </c>
      <c r="L32" s="30">
        <f>VLOOKUP(Таблица2[[#This Row],[канал сбыта]],справочники!A:E,3,0)</f>
        <v>0.5</v>
      </c>
      <c r="M32" s="24">
        <v>0.333333333333333</v>
      </c>
      <c r="N32" s="25"/>
      <c r="O32" s="26">
        <v>7357</v>
      </c>
      <c r="P32" s="27">
        <f>IFERROR(Таблица2[[#This Row],[сумма отгрузки текущая]]/40,"")</f>
        <v>183.925</v>
      </c>
      <c r="Q32" s="35">
        <f>IFERROR(ROUNDUP(Таблица2[[#This Row],[кол-во ед. продукции]]/20,0),"")</f>
        <v>10</v>
      </c>
      <c r="R32" s="26">
        <f t="shared" si="0"/>
        <v>8092.7</v>
      </c>
      <c r="S32" s="27">
        <f>IFERROR(Таблица2[[#This Row],[сумма отгрузки план]]/40,"")</f>
        <v>202.3175</v>
      </c>
      <c r="T32" s="36">
        <f>IFERROR(ROUNDUP(Таблица2[[#This Row],[кол-во продукции план]]/20,0),"")</f>
        <v>11</v>
      </c>
    </row>
    <row r="33" ht="28.8" spans="1:20">
      <c r="A33" s="10">
        <f>SUBTOTAL(3,C$1:C32)</f>
        <v>32</v>
      </c>
      <c r="B33" s="15" t="s">
        <v>146</v>
      </c>
      <c r="C33" s="7" t="s">
        <v>147</v>
      </c>
      <c r="D33" s="16" t="s">
        <v>148</v>
      </c>
      <c r="E33" s="17" t="s">
        <v>149</v>
      </c>
      <c r="F33" s="10" t="s">
        <v>113</v>
      </c>
      <c r="H33" s="18" t="s">
        <v>91</v>
      </c>
      <c r="I33" s="28">
        <f>VLOOKUP(Таблица2[[#This Row],[канал сбыта]],справочники!A:D,4,0)</f>
        <v>3</v>
      </c>
      <c r="J33" s="29">
        <f>VLOOKUP(Таблица2[[#This Row],[канал сбыта]],справочники!A:E,5,0)</f>
        <v>0.00486111111111111</v>
      </c>
      <c r="K33" s="30">
        <f>VLOOKUP(Таблица2[[#This Row],[канал сбыта]],справочники!A:E,2,0)</f>
        <v>0.333333333333333</v>
      </c>
      <c r="L33" s="30">
        <f>VLOOKUP(Таблица2[[#This Row],[канал сбыта]],справочники!A:E,3,0)</f>
        <v>0.458333333333333</v>
      </c>
      <c r="M33" s="24">
        <v>0.340277777777778</v>
      </c>
      <c r="N33" s="25"/>
      <c r="O33" s="26">
        <v>3494</v>
      </c>
      <c r="P33" s="27">
        <f>IFERROR(Таблица2[[#This Row],[сумма отгрузки текущая]]/40,"")</f>
        <v>87.35</v>
      </c>
      <c r="Q33" s="35">
        <f>IFERROR(ROUNDUP(Таблица2[[#This Row],[кол-во ед. продукции]]/20,0),"")</f>
        <v>5</v>
      </c>
      <c r="R33" s="26">
        <f t="shared" si="0"/>
        <v>3843.4</v>
      </c>
      <c r="S33" s="27">
        <f>IFERROR(Таблица2[[#This Row],[сумма отгрузки план]]/40,"")</f>
        <v>96.085</v>
      </c>
      <c r="T33" s="36">
        <f>IFERROR(ROUNDUP(Таблица2[[#This Row],[кол-во продукции план]]/20,0),"")</f>
        <v>5</v>
      </c>
    </row>
    <row r="34" ht="28.8" spans="1:20">
      <c r="A34" s="10">
        <f>SUBTOTAL(3,C$1:C33)</f>
        <v>33</v>
      </c>
      <c r="B34" s="15" t="s">
        <v>150</v>
      </c>
      <c r="C34" s="7" t="s">
        <v>151</v>
      </c>
      <c r="D34" s="16" t="s">
        <v>152</v>
      </c>
      <c r="E34" s="17" t="s">
        <v>153</v>
      </c>
      <c r="F34" s="10" t="s">
        <v>113</v>
      </c>
      <c r="H34" s="18" t="s">
        <v>24</v>
      </c>
      <c r="I34" s="28">
        <f>VLOOKUP(Таблица2[[#This Row],[канал сбыта]],справочники!A:D,4,0)</f>
        <v>3</v>
      </c>
      <c r="J34" s="29">
        <f>VLOOKUP(Таблица2[[#This Row],[канал сбыта]],справочники!A:E,5,0)</f>
        <v>0.00347222222222222</v>
      </c>
      <c r="K34" s="30">
        <f>VLOOKUP(Таблица2[[#This Row],[канал сбыта]],справочники!A:E,2,0)</f>
        <v>0.333333333333333</v>
      </c>
      <c r="L34" s="30">
        <f>VLOOKUP(Таблица2[[#This Row],[канал сбыта]],справочники!A:E,3,0)</f>
        <v>0.416666666666667</v>
      </c>
      <c r="M34" s="24">
        <v>0.347222222222222</v>
      </c>
      <c r="N34" s="25"/>
      <c r="O34" s="26">
        <v>504</v>
      </c>
      <c r="P34" s="27">
        <f>IFERROR(Таблица2[[#This Row],[сумма отгрузки текущая]]/40,"")</f>
        <v>12.6</v>
      </c>
      <c r="Q34" s="35">
        <f>IFERROR(ROUNDUP(Таблица2[[#This Row],[кол-во ед. продукции]]/20,0),"")</f>
        <v>1</v>
      </c>
      <c r="R34" s="26">
        <f t="shared" si="0"/>
        <v>554.4</v>
      </c>
      <c r="S34" s="27">
        <f>IFERROR(Таблица2[[#This Row],[сумма отгрузки план]]/40,"")</f>
        <v>13.86</v>
      </c>
      <c r="T34" s="36">
        <f>IFERROR(ROUNDUP(Таблица2[[#This Row],[кол-во продукции план]]/20,0),"")</f>
        <v>1</v>
      </c>
    </row>
    <row r="35" ht="28.8" spans="1:20">
      <c r="A35" s="10">
        <f>SUBTOTAL(3,C$1:C34)</f>
        <v>34</v>
      </c>
      <c r="B35" s="15" t="s">
        <v>154</v>
      </c>
      <c r="C35" s="7" t="s">
        <v>155</v>
      </c>
      <c r="D35" s="16" t="s">
        <v>156</v>
      </c>
      <c r="E35" s="17" t="s">
        <v>157</v>
      </c>
      <c r="F35" s="10" t="s">
        <v>113</v>
      </c>
      <c r="H35" s="18" t="s">
        <v>55</v>
      </c>
      <c r="I35" s="28">
        <f>VLOOKUP(Таблица2[[#This Row],[канал сбыта]],справочники!A:D,4,0)</f>
        <v>3</v>
      </c>
      <c r="J35" s="29">
        <f>VLOOKUP(Таблица2[[#This Row],[канал сбыта]],справочники!A:E,5,0)</f>
        <v>0.00486111111111111</v>
      </c>
      <c r="K35" s="30">
        <f>VLOOKUP(Таблица2[[#This Row],[канал сбыта]],справочники!A:E,2,0)</f>
        <v>0.333333333333333</v>
      </c>
      <c r="L35" s="30">
        <f>VLOOKUP(Таблица2[[#This Row],[канал сбыта]],справочники!A:E,3,0)</f>
        <v>0.5</v>
      </c>
      <c r="M35" s="24">
        <v>0.354166666666667</v>
      </c>
      <c r="N35" s="25"/>
      <c r="O35" s="26">
        <v>6610</v>
      </c>
      <c r="P35" s="27">
        <f>IFERROR(Таблица2[[#This Row],[сумма отгрузки текущая]]/40,"")</f>
        <v>165.25</v>
      </c>
      <c r="Q35" s="35">
        <f>IFERROR(ROUNDUP(Таблица2[[#This Row],[кол-во ед. продукции]]/20,0),"")</f>
        <v>9</v>
      </c>
      <c r="R35" s="26">
        <f t="shared" si="0"/>
        <v>7271</v>
      </c>
      <c r="S35" s="27">
        <f>IFERROR(Таблица2[[#This Row],[сумма отгрузки план]]/40,"")</f>
        <v>181.775</v>
      </c>
      <c r="T35" s="36">
        <f>IFERROR(ROUNDUP(Таблица2[[#This Row],[кол-во продукции план]]/20,0),"")</f>
        <v>10</v>
      </c>
    </row>
    <row r="36" ht="28.8" spans="1:20">
      <c r="A36" s="10">
        <f>SUBTOTAL(3,C$1:C35)</f>
        <v>35</v>
      </c>
      <c r="B36" s="15" t="s">
        <v>158</v>
      </c>
      <c r="C36" s="7" t="s">
        <v>159</v>
      </c>
      <c r="D36" s="16" t="s">
        <v>160</v>
      </c>
      <c r="E36" s="17" t="s">
        <v>161</v>
      </c>
      <c r="F36" s="10" t="s">
        <v>113</v>
      </c>
      <c r="H36" s="18" t="s">
        <v>91</v>
      </c>
      <c r="I36" s="28">
        <f>VLOOKUP(Таблица2[[#This Row],[канал сбыта]],справочники!A:D,4,0)</f>
        <v>3</v>
      </c>
      <c r="J36" s="29">
        <f>VLOOKUP(Таблица2[[#This Row],[канал сбыта]],справочники!A:E,5,0)</f>
        <v>0.00486111111111111</v>
      </c>
      <c r="K36" s="30">
        <f>VLOOKUP(Таблица2[[#This Row],[канал сбыта]],справочники!A:E,2,0)</f>
        <v>0.333333333333333</v>
      </c>
      <c r="L36" s="30">
        <f>VLOOKUP(Таблица2[[#This Row],[канал сбыта]],справочники!A:E,3,0)</f>
        <v>0.458333333333333</v>
      </c>
      <c r="M36" s="24">
        <v>0.361111111111111</v>
      </c>
      <c r="N36" s="25"/>
      <c r="O36" s="26">
        <v>3897</v>
      </c>
      <c r="P36" s="27">
        <f>IFERROR(Таблица2[[#This Row],[сумма отгрузки текущая]]/40,"")</f>
        <v>97.425</v>
      </c>
      <c r="Q36" s="35">
        <f>IFERROR(ROUNDUP(Таблица2[[#This Row],[кол-во ед. продукции]]/20,0),"")</f>
        <v>5</v>
      </c>
      <c r="R36" s="26">
        <f t="shared" si="0"/>
        <v>4286.7</v>
      </c>
      <c r="S36" s="27">
        <f>IFERROR(Таблица2[[#This Row],[сумма отгрузки план]]/40,"")</f>
        <v>107.1675</v>
      </c>
      <c r="T36" s="36">
        <f>IFERROR(ROUNDUP(Таблица2[[#This Row],[кол-во продукции план]]/20,0),"")</f>
        <v>6</v>
      </c>
    </row>
    <row r="37" ht="43.2" spans="1:20">
      <c r="A37" s="10">
        <f>SUBTOTAL(3,C$1:C36)</f>
        <v>36</v>
      </c>
      <c r="B37" s="15" t="s">
        <v>162</v>
      </c>
      <c r="C37" s="7" t="s">
        <v>163</v>
      </c>
      <c r="D37" s="16" t="s">
        <v>164</v>
      </c>
      <c r="E37" s="17" t="s">
        <v>165</v>
      </c>
      <c r="F37" s="10" t="s">
        <v>113</v>
      </c>
      <c r="H37" s="18" t="s">
        <v>24</v>
      </c>
      <c r="I37" s="28">
        <f>VLOOKUP(Таблица2[[#This Row],[канал сбыта]],справочники!A:D,4,0)</f>
        <v>3</v>
      </c>
      <c r="J37" s="29">
        <f>VLOOKUP(Таблица2[[#This Row],[канал сбыта]],справочники!A:E,5,0)</f>
        <v>0.00347222222222222</v>
      </c>
      <c r="K37" s="30">
        <f>VLOOKUP(Таблица2[[#This Row],[канал сбыта]],справочники!A:E,2,0)</f>
        <v>0.333333333333333</v>
      </c>
      <c r="L37" s="30">
        <f>VLOOKUP(Таблица2[[#This Row],[канал сбыта]],справочники!A:E,3,0)</f>
        <v>0.416666666666667</v>
      </c>
      <c r="M37" s="24">
        <v>0.371527777777778</v>
      </c>
      <c r="N37" s="25"/>
      <c r="O37" s="26">
        <v>920</v>
      </c>
      <c r="P37" s="27">
        <f>IFERROR(Таблица2[[#This Row],[сумма отгрузки текущая]]/40,"")</f>
        <v>23</v>
      </c>
      <c r="Q37" s="35">
        <f>IFERROR(ROUNDUP(Таблица2[[#This Row],[кол-во ед. продукции]]/20,0),"")</f>
        <v>2</v>
      </c>
      <c r="R37" s="26">
        <f t="shared" si="0"/>
        <v>1012</v>
      </c>
      <c r="S37" s="27">
        <f>IFERROR(Таблица2[[#This Row],[сумма отгрузки план]]/40,"")</f>
        <v>25.3</v>
      </c>
      <c r="T37" s="36">
        <f>IFERROR(ROUNDUP(Таблица2[[#This Row],[кол-во продукции план]]/20,0),"")</f>
        <v>2</v>
      </c>
    </row>
    <row r="38" ht="28.8" spans="1:20">
      <c r="A38" s="10">
        <f>SUBTOTAL(3,C$1:C37)</f>
        <v>37</v>
      </c>
      <c r="B38" s="15" t="s">
        <v>166</v>
      </c>
      <c r="C38" s="7" t="s">
        <v>167</v>
      </c>
      <c r="D38" s="16" t="s">
        <v>168</v>
      </c>
      <c r="E38" s="17" t="s">
        <v>169</v>
      </c>
      <c r="F38" s="10" t="s">
        <v>113</v>
      </c>
      <c r="H38" s="18" t="s">
        <v>24</v>
      </c>
      <c r="I38" s="28">
        <f>VLOOKUP(Таблица2[[#This Row],[канал сбыта]],справочники!A:D,4,0)</f>
        <v>3</v>
      </c>
      <c r="J38" s="29">
        <f>VLOOKUP(Таблица2[[#This Row],[канал сбыта]],справочники!A:E,5,0)</f>
        <v>0.00347222222222222</v>
      </c>
      <c r="K38" s="30">
        <f>VLOOKUP(Таблица2[[#This Row],[канал сбыта]],справочники!A:E,2,0)</f>
        <v>0.333333333333333</v>
      </c>
      <c r="L38" s="30">
        <f>VLOOKUP(Таблица2[[#This Row],[канал сбыта]],справочники!A:E,3,0)</f>
        <v>0.416666666666667</v>
      </c>
      <c r="M38" s="24">
        <v>0.381944444444444</v>
      </c>
      <c r="N38" s="25"/>
      <c r="O38" s="26">
        <v>1099</v>
      </c>
      <c r="P38" s="27">
        <f>IFERROR(Таблица2[[#This Row],[сумма отгрузки текущая]]/40,"")</f>
        <v>27.475</v>
      </c>
      <c r="Q38" s="35">
        <f>IFERROR(ROUNDUP(Таблица2[[#This Row],[кол-во ед. продукции]]/20,0),"")</f>
        <v>2</v>
      </c>
      <c r="R38" s="26">
        <f t="shared" si="0"/>
        <v>1208.9</v>
      </c>
      <c r="S38" s="27">
        <f>IFERROR(Таблица2[[#This Row],[сумма отгрузки план]]/40,"")</f>
        <v>30.2225</v>
      </c>
      <c r="T38" s="36">
        <f>IFERROR(ROUNDUP(Таблица2[[#This Row],[кол-во продукции план]]/20,0),"")</f>
        <v>2</v>
      </c>
    </row>
    <row r="39" ht="28.8" spans="1:20">
      <c r="A39" s="10">
        <f>SUBTOTAL(3,C$1:C38)</f>
        <v>38</v>
      </c>
      <c r="B39" s="15" t="s">
        <v>170</v>
      </c>
      <c r="C39" s="7" t="s">
        <v>171</v>
      </c>
      <c r="D39" s="16" t="s">
        <v>172</v>
      </c>
      <c r="E39" s="17" t="s">
        <v>173</v>
      </c>
      <c r="F39" s="10" t="s">
        <v>113</v>
      </c>
      <c r="H39" s="18" t="s">
        <v>63</v>
      </c>
      <c r="I39" s="28">
        <f>VLOOKUP(Таблица2[[#This Row],[канал сбыта]],справочники!A:D,4,0)</f>
        <v>3</v>
      </c>
      <c r="J39" s="29">
        <f>VLOOKUP(Таблица2[[#This Row],[канал сбыта]],справочники!A:E,5,0)</f>
        <v>0.00694444444444444</v>
      </c>
      <c r="K39" s="30">
        <f>VLOOKUP(Таблица2[[#This Row],[канал сбыта]],справочники!A:E,2,0)</f>
        <v>0.375</v>
      </c>
      <c r="L39" s="30">
        <f>VLOOKUP(Таблица2[[#This Row],[канал сбыта]],справочники!A:E,3,0)</f>
        <v>0.5</v>
      </c>
      <c r="M39" s="24">
        <v>0.395833333333333</v>
      </c>
      <c r="N39" s="25"/>
      <c r="O39" s="26">
        <v>8377</v>
      </c>
      <c r="P39" s="27">
        <f>IFERROR(Таблица2[[#This Row],[сумма отгрузки текущая]]/40,"")</f>
        <v>209.425</v>
      </c>
      <c r="Q39" s="35">
        <f>IFERROR(ROUNDUP(Таблица2[[#This Row],[кол-во ед. продукции]]/20,0),"")</f>
        <v>11</v>
      </c>
      <c r="R39" s="26">
        <f t="shared" si="0"/>
        <v>9214.7</v>
      </c>
      <c r="S39" s="27">
        <f>IFERROR(Таблица2[[#This Row],[сумма отгрузки план]]/40,"")</f>
        <v>230.3675</v>
      </c>
      <c r="T39" s="36">
        <f>IFERROR(ROUNDUP(Таблица2[[#This Row],[кол-во продукции план]]/20,0),"")</f>
        <v>12</v>
      </c>
    </row>
    <row r="40" ht="28.8" spans="1:20">
      <c r="A40" s="10">
        <f>SUBTOTAL(3,C$1:C39)</f>
        <v>39</v>
      </c>
      <c r="B40" s="15" t="s">
        <v>174</v>
      </c>
      <c r="C40" s="7" t="s">
        <v>175</v>
      </c>
      <c r="D40" s="16" t="s">
        <v>176</v>
      </c>
      <c r="E40" s="17" t="s">
        <v>177</v>
      </c>
      <c r="F40" s="10" t="s">
        <v>113</v>
      </c>
      <c r="H40" s="18" t="s">
        <v>55</v>
      </c>
      <c r="I40" s="28">
        <f>VLOOKUP(Таблица2[[#This Row],[канал сбыта]],справочники!A:D,4,0)</f>
        <v>3</v>
      </c>
      <c r="J40" s="29">
        <f>VLOOKUP(Таблица2[[#This Row],[канал сбыта]],справочники!A:E,5,0)</f>
        <v>0.00486111111111111</v>
      </c>
      <c r="K40" s="30">
        <f>VLOOKUP(Таблица2[[#This Row],[канал сбыта]],справочники!A:E,2,0)</f>
        <v>0.333333333333333</v>
      </c>
      <c r="L40" s="30">
        <f>VLOOKUP(Таблица2[[#This Row],[канал сбыта]],справочники!A:E,3,0)</f>
        <v>0.5</v>
      </c>
      <c r="M40" s="24">
        <v>0.402777777777778</v>
      </c>
      <c r="N40" s="25"/>
      <c r="O40" s="26">
        <v>8287</v>
      </c>
      <c r="P40" s="27">
        <f>IFERROR(Таблица2[[#This Row],[сумма отгрузки текущая]]/40,"")</f>
        <v>207.175</v>
      </c>
      <c r="Q40" s="35">
        <f>IFERROR(ROUNDUP(Таблица2[[#This Row],[кол-во ед. продукции]]/20,0),"")</f>
        <v>11</v>
      </c>
      <c r="R40" s="26">
        <f t="shared" si="0"/>
        <v>9115.7</v>
      </c>
      <c r="S40" s="27">
        <f>IFERROR(Таблица2[[#This Row],[сумма отгрузки план]]/40,"")</f>
        <v>227.8925</v>
      </c>
      <c r="T40" s="36">
        <f>IFERROR(ROUNDUP(Таблица2[[#This Row],[кол-во продукции план]]/20,0),"")</f>
        <v>12</v>
      </c>
    </row>
    <row r="41" ht="28.8" spans="1:20">
      <c r="A41" s="10">
        <f>SUBTOTAL(3,C$1:C40)</f>
        <v>40</v>
      </c>
      <c r="B41" s="15" t="s">
        <v>178</v>
      </c>
      <c r="C41" s="7" t="s">
        <v>179</v>
      </c>
      <c r="D41" s="16" t="s">
        <v>180</v>
      </c>
      <c r="E41" s="17" t="s">
        <v>70</v>
      </c>
      <c r="F41" s="10" t="s">
        <v>113</v>
      </c>
      <c r="H41" s="18" t="s">
        <v>24</v>
      </c>
      <c r="I41" s="28">
        <f>VLOOKUP(Таблица2[[#This Row],[канал сбыта]],справочники!A:D,4,0)</f>
        <v>3</v>
      </c>
      <c r="J41" s="29">
        <f>VLOOKUP(Таблица2[[#This Row],[канал сбыта]],справочники!A:E,5,0)</f>
        <v>0.00347222222222222</v>
      </c>
      <c r="K41" s="30">
        <f>VLOOKUP(Таблица2[[#This Row],[канал сбыта]],справочники!A:E,2,0)</f>
        <v>0.333333333333333</v>
      </c>
      <c r="L41" s="30">
        <f>VLOOKUP(Таблица2[[#This Row],[канал сбыта]],справочники!A:E,3,0)</f>
        <v>0.416666666666667</v>
      </c>
      <c r="M41" s="24">
        <v>0.416666666666667</v>
      </c>
      <c r="N41" s="25"/>
      <c r="O41" s="26">
        <v>167</v>
      </c>
      <c r="P41" s="27">
        <f>IFERROR(Таблица2[[#This Row],[сумма отгрузки текущая]]/40,"")</f>
        <v>4.175</v>
      </c>
      <c r="Q41" s="35">
        <f>IFERROR(ROUNDUP(Таблица2[[#This Row],[кол-во ед. продукции]]/20,0),"")</f>
        <v>1</v>
      </c>
      <c r="R41" s="26">
        <f t="shared" si="0"/>
        <v>183.7</v>
      </c>
      <c r="S41" s="27">
        <f>IFERROR(Таблица2[[#This Row],[сумма отгрузки план]]/40,"")</f>
        <v>4.5925</v>
      </c>
      <c r="T41" s="36">
        <f>IFERROR(ROUNDUP(Таблица2[[#This Row],[кол-во продукции план]]/20,0),"")</f>
        <v>1</v>
      </c>
    </row>
    <row r="42" ht="28.8" spans="1:20">
      <c r="A42" s="10">
        <f>SUBTOTAL(3,C$1:C41)</f>
        <v>41</v>
      </c>
      <c r="B42" s="15" t="s">
        <v>181</v>
      </c>
      <c r="C42" s="7" t="s">
        <v>182</v>
      </c>
      <c r="D42" s="16" t="s">
        <v>183</v>
      </c>
      <c r="E42" s="17" t="s">
        <v>184</v>
      </c>
      <c r="F42" s="10" t="s">
        <v>113</v>
      </c>
      <c r="H42" s="18" t="s">
        <v>24</v>
      </c>
      <c r="I42" s="28">
        <f>VLOOKUP(Таблица2[[#This Row],[канал сбыта]],справочники!A:D,4,0)</f>
        <v>3</v>
      </c>
      <c r="J42" s="29">
        <f>VLOOKUP(Таблица2[[#This Row],[канал сбыта]],справочники!A:E,5,0)</f>
        <v>0.00347222222222222</v>
      </c>
      <c r="K42" s="30">
        <f>VLOOKUP(Таблица2[[#This Row],[канал сбыта]],справочники!A:E,2,0)</f>
        <v>0.333333333333333</v>
      </c>
      <c r="L42" s="30">
        <f>VLOOKUP(Таблица2[[#This Row],[канал сбыта]],справочники!A:E,3,0)</f>
        <v>0.416666666666667</v>
      </c>
      <c r="M42" s="24">
        <v>0.430555555555556</v>
      </c>
      <c r="N42" s="25"/>
      <c r="O42" s="26">
        <v>89</v>
      </c>
      <c r="P42" s="27">
        <f>IFERROR(Таблица2[[#This Row],[сумма отгрузки текущая]]/40,"")</f>
        <v>2.225</v>
      </c>
      <c r="Q42" s="35">
        <f>IFERROR(ROUNDUP(Таблица2[[#This Row],[кол-во ед. продукции]]/20,0),"")</f>
        <v>1</v>
      </c>
      <c r="R42" s="26">
        <f t="shared" si="0"/>
        <v>97.9</v>
      </c>
      <c r="S42" s="27">
        <f>IFERROR(Таблица2[[#This Row],[сумма отгрузки план]]/40,"")</f>
        <v>2.4475</v>
      </c>
      <c r="T42" s="36">
        <f>IFERROR(ROUNDUP(Таблица2[[#This Row],[кол-во продукции план]]/20,0),"")</f>
        <v>1</v>
      </c>
    </row>
    <row r="43" ht="28.8" spans="1:20">
      <c r="A43" s="10">
        <f>SUBTOTAL(3,C$1:C42)</f>
        <v>42</v>
      </c>
      <c r="B43" s="15" t="s">
        <v>185</v>
      </c>
      <c r="C43" s="7" t="s">
        <v>186</v>
      </c>
      <c r="D43" s="16" t="s">
        <v>187</v>
      </c>
      <c r="E43" s="17" t="s">
        <v>188</v>
      </c>
      <c r="F43" s="10" t="s">
        <v>113</v>
      </c>
      <c r="H43" s="18" t="s">
        <v>24</v>
      </c>
      <c r="I43" s="28">
        <f>VLOOKUP(Таблица2[[#This Row],[канал сбыта]],справочники!A:D,4,0)</f>
        <v>3</v>
      </c>
      <c r="J43" s="29">
        <f>VLOOKUP(Таблица2[[#This Row],[канал сбыта]],справочники!A:E,5,0)</f>
        <v>0.00347222222222222</v>
      </c>
      <c r="K43" s="30">
        <f>VLOOKUP(Таблица2[[#This Row],[канал сбыта]],справочники!A:E,2,0)</f>
        <v>0.333333333333333</v>
      </c>
      <c r="L43" s="30">
        <f>VLOOKUP(Таблица2[[#This Row],[канал сбыта]],справочники!A:E,3,0)</f>
        <v>0.416666666666667</v>
      </c>
      <c r="M43" s="24">
        <v>0.4375</v>
      </c>
      <c r="N43" s="25"/>
      <c r="O43" s="26">
        <v>2797</v>
      </c>
      <c r="P43" s="27">
        <f>IFERROR(Таблица2[[#This Row],[сумма отгрузки текущая]]/40,"")</f>
        <v>69.925</v>
      </c>
      <c r="Q43" s="35">
        <f>IFERROR(ROUNDUP(Таблица2[[#This Row],[кол-во ед. продукции]]/20,0),"")</f>
        <v>4</v>
      </c>
      <c r="R43" s="26">
        <f t="shared" si="0"/>
        <v>3076.7</v>
      </c>
      <c r="S43" s="27">
        <f>IFERROR(Таблица2[[#This Row],[сумма отгрузки план]]/40,"")</f>
        <v>76.9175</v>
      </c>
      <c r="T43" s="36">
        <f>IFERROR(ROUNDUP(Таблица2[[#This Row],[кол-во продукции план]]/20,0),"")</f>
        <v>4</v>
      </c>
    </row>
    <row r="44" ht="28.8" spans="1:20">
      <c r="A44" s="10">
        <f>SUBTOTAL(3,C$1:C43)</f>
        <v>43</v>
      </c>
      <c r="B44" s="15" t="s">
        <v>189</v>
      </c>
      <c r="C44" s="7" t="s">
        <v>190</v>
      </c>
      <c r="D44" s="16" t="s">
        <v>191</v>
      </c>
      <c r="E44" s="17" t="s">
        <v>192</v>
      </c>
      <c r="F44" s="10" t="s">
        <v>113</v>
      </c>
      <c r="H44" s="18" t="s">
        <v>108</v>
      </c>
      <c r="I44" s="28">
        <f>VLOOKUP(Таблица2[[#This Row],[канал сбыта]],справочники!A:D,4,0)</f>
        <v>3</v>
      </c>
      <c r="J44" s="29">
        <f>VLOOKUP(Таблица2[[#This Row],[канал сбыта]],справочники!A:E,5,0)</f>
        <v>0.00486111111111111</v>
      </c>
      <c r="K44" s="30">
        <f>VLOOKUP(Таблица2[[#This Row],[канал сбыта]],справочники!A:E,2,0)</f>
        <v>0.375</v>
      </c>
      <c r="L44" s="30">
        <f>VLOOKUP(Таблица2[[#This Row],[канал сбыта]],справочники!A:E,3,0)</f>
        <v>0.520833333333333</v>
      </c>
      <c r="M44" s="24">
        <v>0.444444444444444</v>
      </c>
      <c r="N44" s="25"/>
      <c r="O44" s="26">
        <v>598</v>
      </c>
      <c r="P44" s="27">
        <f>IFERROR(Таблица2[[#This Row],[сумма отгрузки текущая]]/40,"")</f>
        <v>14.95</v>
      </c>
      <c r="Q44" s="35">
        <f>IFERROR(ROUNDUP(Таблица2[[#This Row],[кол-во ед. продукции]]/20,0),"")</f>
        <v>1</v>
      </c>
      <c r="R44" s="26">
        <f t="shared" si="0"/>
        <v>657.8</v>
      </c>
      <c r="S44" s="27">
        <f>IFERROR(Таблица2[[#This Row],[сумма отгрузки план]]/40,"")</f>
        <v>16.445</v>
      </c>
      <c r="T44" s="36">
        <f>IFERROR(ROUNDUP(Таблица2[[#This Row],[кол-во продукции план]]/20,0),"")</f>
        <v>1</v>
      </c>
    </row>
    <row r="45" ht="28.8" spans="1:20">
      <c r="A45" s="10">
        <f>SUBTOTAL(3,C$1:C44)</f>
        <v>44</v>
      </c>
      <c r="B45" s="15" t="s">
        <v>193</v>
      </c>
      <c r="C45" s="7" t="s">
        <v>194</v>
      </c>
      <c r="D45" s="16" t="s">
        <v>144</v>
      </c>
      <c r="E45" s="17" t="s">
        <v>145</v>
      </c>
      <c r="F45" s="10" t="s">
        <v>113</v>
      </c>
      <c r="H45" s="18" t="s">
        <v>108</v>
      </c>
      <c r="I45" s="28">
        <f>VLOOKUP(Таблица2[[#This Row],[канал сбыта]],справочники!A:D,4,0)</f>
        <v>3</v>
      </c>
      <c r="J45" s="29">
        <f>VLOOKUP(Таблица2[[#This Row],[канал сбыта]],справочники!A:E,5,0)</f>
        <v>0.00486111111111111</v>
      </c>
      <c r="K45" s="30">
        <f>VLOOKUP(Таблица2[[#This Row],[канал сбыта]],справочники!A:E,2,0)</f>
        <v>0.375</v>
      </c>
      <c r="L45" s="30">
        <f>VLOOKUP(Таблица2[[#This Row],[канал сбыта]],справочники!A:E,3,0)</f>
        <v>0.520833333333333</v>
      </c>
      <c r="M45" s="24">
        <v>0.451388888888889</v>
      </c>
      <c r="N45" s="25"/>
      <c r="O45" s="26">
        <v>601</v>
      </c>
      <c r="P45" s="27">
        <f>IFERROR(Таблица2[[#This Row],[сумма отгрузки текущая]]/40,"")</f>
        <v>15.025</v>
      </c>
      <c r="Q45" s="35">
        <f>IFERROR(ROUNDUP(Таблица2[[#This Row],[кол-во ед. продукции]]/20,0),"")</f>
        <v>1</v>
      </c>
      <c r="R45" s="26">
        <f t="shared" si="0"/>
        <v>661.1</v>
      </c>
      <c r="S45" s="27">
        <f>IFERROR(Таблица2[[#This Row],[сумма отгрузки план]]/40,"")</f>
        <v>16.5275</v>
      </c>
      <c r="T45" s="36">
        <f>IFERROR(ROUNDUP(Таблица2[[#This Row],[кол-во продукции план]]/20,0),"")</f>
        <v>1</v>
      </c>
    </row>
    <row r="46" ht="28.8" spans="1:20">
      <c r="A46" s="10">
        <f>SUBTOTAL(3,C$1:C45)</f>
        <v>45</v>
      </c>
      <c r="B46" s="15" t="s">
        <v>195</v>
      </c>
      <c r="C46" s="7" t="s">
        <v>196</v>
      </c>
      <c r="D46" s="16" t="s">
        <v>197</v>
      </c>
      <c r="E46" s="17" t="s">
        <v>198</v>
      </c>
      <c r="F46" s="10" t="s">
        <v>113</v>
      </c>
      <c r="H46" s="18" t="s">
        <v>55</v>
      </c>
      <c r="I46" s="28">
        <f>VLOOKUP(Таблица2[[#This Row],[канал сбыта]],справочники!A:D,4,0)</f>
        <v>3</v>
      </c>
      <c r="J46" s="29">
        <f>VLOOKUP(Таблица2[[#This Row],[канал сбыта]],справочники!A:E,5,0)</f>
        <v>0.00486111111111111</v>
      </c>
      <c r="K46" s="30">
        <f>VLOOKUP(Таблица2[[#This Row],[канал сбыта]],справочники!A:E,2,0)</f>
        <v>0.333333333333333</v>
      </c>
      <c r="L46" s="30">
        <f>VLOOKUP(Таблица2[[#This Row],[канал сбыта]],справочники!A:E,3,0)</f>
        <v>0.5</v>
      </c>
      <c r="M46" s="24">
        <v>0.458333333333333</v>
      </c>
      <c r="N46" s="25"/>
      <c r="O46" s="26">
        <v>5117</v>
      </c>
      <c r="P46" s="27">
        <f>IFERROR(Таблица2[[#This Row],[сумма отгрузки текущая]]/40,"")</f>
        <v>127.925</v>
      </c>
      <c r="Q46" s="35">
        <f>IFERROR(ROUNDUP(Таблица2[[#This Row],[кол-во ед. продукции]]/20,0),"")</f>
        <v>7</v>
      </c>
      <c r="R46" s="26">
        <f t="shared" si="0"/>
        <v>5628.7</v>
      </c>
      <c r="S46" s="27">
        <f>IFERROR(Таблица2[[#This Row],[сумма отгрузки план]]/40,"")</f>
        <v>140.7175</v>
      </c>
      <c r="T46" s="36">
        <f>IFERROR(ROUNDUP(Таблица2[[#This Row],[кол-во продукции план]]/20,0),"")</f>
        <v>8</v>
      </c>
    </row>
    <row r="47" ht="28.8" spans="1:20">
      <c r="A47" s="10">
        <f>SUBTOTAL(3,C$1:C46)</f>
        <v>46</v>
      </c>
      <c r="B47" s="15">
        <v>884</v>
      </c>
      <c r="C47" s="7" t="s">
        <v>199</v>
      </c>
      <c r="D47" s="16" t="s">
        <v>200</v>
      </c>
      <c r="E47" s="17" t="s">
        <v>201</v>
      </c>
      <c r="F47" s="10" t="s">
        <v>113</v>
      </c>
      <c r="H47" s="18" t="s">
        <v>55</v>
      </c>
      <c r="I47" s="28">
        <f>VLOOKUP(Таблица2[[#This Row],[канал сбыта]],справочники!A:D,4,0)</f>
        <v>3</v>
      </c>
      <c r="J47" s="29">
        <f>VLOOKUP(Таблица2[[#This Row],[канал сбыта]],справочники!A:E,5,0)</f>
        <v>0.00486111111111111</v>
      </c>
      <c r="K47" s="30">
        <f>VLOOKUP(Таблица2[[#This Row],[канал сбыта]],справочники!A:E,2,0)</f>
        <v>0.333333333333333</v>
      </c>
      <c r="L47" s="30">
        <f>VLOOKUP(Таблица2[[#This Row],[канал сбыта]],справочники!A:E,3,0)</f>
        <v>0.5</v>
      </c>
      <c r="M47" s="24">
        <v>0.46875</v>
      </c>
      <c r="N47" s="25"/>
      <c r="O47" s="26">
        <v>6101</v>
      </c>
      <c r="P47" s="27">
        <f>IFERROR(Таблица2[[#This Row],[сумма отгрузки текущая]]/40,"")</f>
        <v>152.525</v>
      </c>
      <c r="Q47" s="35">
        <f>IFERROR(ROUNDUP(Таблица2[[#This Row],[кол-во ед. продукции]]/20,0),"")</f>
        <v>8</v>
      </c>
      <c r="R47" s="26">
        <f t="shared" si="0"/>
        <v>6711.1</v>
      </c>
      <c r="S47" s="27">
        <f>IFERROR(Таблица2[[#This Row],[сумма отгрузки план]]/40,"")</f>
        <v>167.7775</v>
      </c>
      <c r="T47" s="36">
        <f>IFERROR(ROUNDUP(Таблица2[[#This Row],[кол-во продукции план]]/20,0),"")</f>
        <v>9</v>
      </c>
    </row>
    <row r="48" ht="28.8" spans="1:20">
      <c r="A48" s="10">
        <f>SUBTOTAL(3,C$1:C47)</f>
        <v>47</v>
      </c>
      <c r="B48" s="15" t="s">
        <v>202</v>
      </c>
      <c r="C48" s="7" t="s">
        <v>203</v>
      </c>
      <c r="D48" s="16" t="s">
        <v>204</v>
      </c>
      <c r="E48" s="17" t="s">
        <v>205</v>
      </c>
      <c r="F48" s="10" t="s">
        <v>113</v>
      </c>
      <c r="H48" s="18" t="s">
        <v>24</v>
      </c>
      <c r="I48" s="28">
        <f>VLOOKUP(Таблица2[[#This Row],[канал сбыта]],справочники!A:D,4,0)</f>
        <v>3</v>
      </c>
      <c r="J48" s="29">
        <f>VLOOKUP(Таблица2[[#This Row],[канал сбыта]],справочники!A:E,5,0)</f>
        <v>0.00347222222222222</v>
      </c>
      <c r="K48" s="30">
        <f>VLOOKUP(Таблица2[[#This Row],[канал сбыта]],справочники!A:E,2,0)</f>
        <v>0.333333333333333</v>
      </c>
      <c r="L48" s="30">
        <f>VLOOKUP(Таблица2[[#This Row],[канал сбыта]],справочники!A:E,3,0)</f>
        <v>0.416666666666667</v>
      </c>
      <c r="M48" s="24">
        <v>0.479166666666667</v>
      </c>
      <c r="N48" s="25"/>
      <c r="O48" s="26">
        <v>504</v>
      </c>
      <c r="P48" s="27">
        <f>IFERROR(Таблица2[[#This Row],[сумма отгрузки текущая]]/40,"")</f>
        <v>12.6</v>
      </c>
      <c r="Q48" s="35">
        <f>IFERROR(ROUNDUP(Таблица2[[#This Row],[кол-во ед. продукции]]/20,0),"")</f>
        <v>1</v>
      </c>
      <c r="R48" s="26">
        <f t="shared" si="0"/>
        <v>554.4</v>
      </c>
      <c r="S48" s="27">
        <f>IFERROR(Таблица2[[#This Row],[сумма отгрузки план]]/40,"")</f>
        <v>13.86</v>
      </c>
      <c r="T48" s="36">
        <f>IFERROR(ROUNDUP(Таблица2[[#This Row],[кол-во продукции план]]/20,0),"")</f>
        <v>1</v>
      </c>
    </row>
    <row r="49" ht="29.55" spans="1:20">
      <c r="A49" s="10">
        <f>SUBTOTAL(3,C$1:C48)</f>
        <v>48</v>
      </c>
      <c r="B49" s="15" t="s">
        <v>206</v>
      </c>
      <c r="C49" s="19" t="s">
        <v>207</v>
      </c>
      <c r="D49" s="20" t="s">
        <v>208</v>
      </c>
      <c r="E49" s="17" t="s">
        <v>209</v>
      </c>
      <c r="F49" s="10" t="s">
        <v>113</v>
      </c>
      <c r="H49" s="18" t="s">
        <v>91</v>
      </c>
      <c r="I49" s="28">
        <f>VLOOKUP(Таблица2[[#This Row],[канал сбыта]],справочники!A:D,4,0)</f>
        <v>3</v>
      </c>
      <c r="J49" s="29">
        <f>VLOOKUP(Таблица2[[#This Row],[канал сбыта]],справочники!A:E,5,0)</f>
        <v>0.00486111111111111</v>
      </c>
      <c r="K49" s="30">
        <f>VLOOKUP(Таблица2[[#This Row],[канал сбыта]],справочники!A:E,2,0)</f>
        <v>0.333333333333333</v>
      </c>
      <c r="L49" s="30">
        <f>VLOOKUP(Таблица2[[#This Row],[канал сбыта]],справочники!A:E,3,0)</f>
        <v>0.458333333333333</v>
      </c>
      <c r="M49" s="24">
        <v>0.489583333333333</v>
      </c>
      <c r="N49" s="25"/>
      <c r="O49" s="26">
        <v>2170</v>
      </c>
      <c r="P49" s="27">
        <f>IFERROR(Таблица2[[#This Row],[сумма отгрузки текущая]]/40,"")</f>
        <v>54.25</v>
      </c>
      <c r="Q49" s="35">
        <f>IFERROR(ROUNDUP(Таблица2[[#This Row],[кол-во ед. продукции]]/20,0),"")</f>
        <v>3</v>
      </c>
      <c r="R49" s="26">
        <f t="shared" si="0"/>
        <v>2387</v>
      </c>
      <c r="S49" s="27">
        <f>IFERROR(Таблица2[[#This Row],[сумма отгрузки план]]/40,"")</f>
        <v>59.675</v>
      </c>
      <c r="T49" s="36">
        <f>IFERROR(ROUNDUP(Таблица2[[#This Row],[кол-во продукции план]]/20,0),"")</f>
        <v>3</v>
      </c>
    </row>
    <row r="50" ht="28.8" spans="1:20">
      <c r="A50" s="11">
        <f>SUBTOTAL(3,C$1:C49)</f>
        <v>49</v>
      </c>
      <c r="B50" s="15" t="s">
        <v>210</v>
      </c>
      <c r="C50" s="7" t="s">
        <v>211</v>
      </c>
      <c r="D50" s="16" t="s">
        <v>212</v>
      </c>
      <c r="E50" s="17" t="s">
        <v>213</v>
      </c>
      <c r="F50" s="10" t="s">
        <v>214</v>
      </c>
      <c r="H50" s="21" t="s">
        <v>35</v>
      </c>
      <c r="I50" s="31">
        <f>VLOOKUP(Таблица2[[#This Row],[канал сбыта]],справочники!A:D,4,0)</f>
        <v>1</v>
      </c>
      <c r="J50" s="32">
        <f>VLOOKUP(Таблица2[[#This Row],[канал сбыта]],справочники!A:E,5,0)</f>
        <v>0.00486111111111111</v>
      </c>
      <c r="K50" s="33">
        <f>VLOOKUP(Таблица2[[#This Row],[канал сбыта]],справочники!A:E,2,0)</f>
        <v>0.208333333333333</v>
      </c>
      <c r="L50" s="33">
        <f>VLOOKUP(Таблица2[[#This Row],[канал сбыта]],справочники!A:E,3,0)</f>
        <v>0.333333333333333</v>
      </c>
      <c r="M50" s="33">
        <v>0.25</v>
      </c>
      <c r="N50" s="34"/>
      <c r="O50" s="26">
        <v>4867</v>
      </c>
      <c r="P50" s="27">
        <f>IFERROR(Таблица2[[#This Row],[сумма отгрузки текущая]]/40,"")</f>
        <v>121.675</v>
      </c>
      <c r="Q50" s="35">
        <f>IFERROR(ROUNDUP(Таблица2[[#This Row],[кол-во ед. продукции]]/20,0),"")</f>
        <v>7</v>
      </c>
      <c r="R50" s="26">
        <f t="shared" si="0"/>
        <v>5353.7</v>
      </c>
      <c r="S50" s="27">
        <f>IFERROR(Таблица2[[#This Row],[сумма отгрузки план]]/40,"")</f>
        <v>133.8425</v>
      </c>
      <c r="T50" s="36">
        <f>IFERROR(ROUNDUP(Таблица2[[#This Row],[кол-во продукции план]]/20,0),"")</f>
        <v>7</v>
      </c>
    </row>
    <row r="51" ht="28.8" spans="1:20">
      <c r="A51" s="11">
        <f>SUBTOTAL(3,C$1:C50)</f>
        <v>50</v>
      </c>
      <c r="B51" s="15" t="s">
        <v>215</v>
      </c>
      <c r="C51" s="7" t="s">
        <v>216</v>
      </c>
      <c r="D51" s="16" t="s">
        <v>217</v>
      </c>
      <c r="E51" s="17" t="s">
        <v>218</v>
      </c>
      <c r="F51" s="10" t="s">
        <v>214</v>
      </c>
      <c r="H51" s="21" t="s">
        <v>35</v>
      </c>
      <c r="I51" s="31">
        <f>VLOOKUP(Таблица2[[#This Row],[канал сбыта]],справочники!A:D,4,0)</f>
        <v>1</v>
      </c>
      <c r="J51" s="32">
        <f>VLOOKUP(Таблица2[[#This Row],[канал сбыта]],справочники!A:E,5,0)</f>
        <v>0.00486111111111111</v>
      </c>
      <c r="K51" s="33">
        <f>VLOOKUP(Таблица2[[#This Row],[канал сбыта]],справочники!A:E,2,0)</f>
        <v>0.208333333333333</v>
      </c>
      <c r="L51" s="33">
        <f>VLOOKUP(Таблица2[[#This Row],[канал сбыта]],справочники!A:E,3,0)</f>
        <v>0.333333333333333</v>
      </c>
      <c r="M51" s="33">
        <v>0.263888888888889</v>
      </c>
      <c r="N51" s="34"/>
      <c r="O51" s="26">
        <v>4965</v>
      </c>
      <c r="P51" s="27">
        <f>IFERROR(Таблица2[[#This Row],[сумма отгрузки текущая]]/40,"")</f>
        <v>124.125</v>
      </c>
      <c r="Q51" s="35">
        <f>IFERROR(ROUNDUP(Таблица2[[#This Row],[кол-во ед. продукции]]/20,0),"")</f>
        <v>7</v>
      </c>
      <c r="R51" s="26">
        <f t="shared" si="0"/>
        <v>5461.5</v>
      </c>
      <c r="S51" s="27">
        <f>IFERROR(Таблица2[[#This Row],[сумма отгрузки план]]/40,"")</f>
        <v>136.5375</v>
      </c>
      <c r="T51" s="36">
        <f>IFERROR(ROUNDUP(Таблица2[[#This Row],[кол-во продукции план]]/20,0),"")</f>
        <v>7</v>
      </c>
    </row>
    <row r="52" ht="28.8" spans="1:20">
      <c r="A52" s="11">
        <f>SUBTOTAL(3,C$1:C51)</f>
        <v>51</v>
      </c>
      <c r="B52" s="15" t="s">
        <v>219</v>
      </c>
      <c r="C52" s="7" t="s">
        <v>220</v>
      </c>
      <c r="D52" s="16" t="s">
        <v>221</v>
      </c>
      <c r="E52" s="17" t="s">
        <v>222</v>
      </c>
      <c r="F52" s="10" t="s">
        <v>214</v>
      </c>
      <c r="H52" s="21" t="s">
        <v>24</v>
      </c>
      <c r="I52" s="31">
        <f>VLOOKUP(Таблица2[[#This Row],[канал сбыта]],справочники!A:D,4,0)</f>
        <v>3</v>
      </c>
      <c r="J52" s="32">
        <f>VLOOKUP(Таблица2[[#This Row],[канал сбыта]],справочники!A:E,5,0)</f>
        <v>0.00347222222222222</v>
      </c>
      <c r="K52" s="33">
        <f>VLOOKUP(Таблица2[[#This Row],[канал сбыта]],справочники!A:E,2,0)</f>
        <v>0.333333333333333</v>
      </c>
      <c r="L52" s="33">
        <f>VLOOKUP(Таблица2[[#This Row],[канал сбыта]],справочники!A:E,3,0)</f>
        <v>0.416666666666667</v>
      </c>
      <c r="M52" s="33">
        <v>0.277777777777778</v>
      </c>
      <c r="N52" s="34"/>
      <c r="O52" s="26">
        <v>673</v>
      </c>
      <c r="P52" s="27">
        <f>IFERROR(Таблица2[[#This Row],[сумма отгрузки текущая]]/40,"")</f>
        <v>16.825</v>
      </c>
      <c r="Q52" s="35">
        <f>IFERROR(ROUNDUP(Таблица2[[#This Row],[кол-во ед. продукции]]/20,0),"")</f>
        <v>1</v>
      </c>
      <c r="R52" s="26">
        <f t="shared" si="0"/>
        <v>740.3</v>
      </c>
      <c r="S52" s="27">
        <f>IFERROR(Таблица2[[#This Row],[сумма отгрузки план]]/40,"")</f>
        <v>18.5075</v>
      </c>
      <c r="T52" s="36">
        <f>IFERROR(ROUNDUP(Таблица2[[#This Row],[кол-во продукции план]]/20,0),"")</f>
        <v>1</v>
      </c>
    </row>
    <row r="53" ht="28.8" spans="1:20">
      <c r="A53" s="11">
        <f>SUBTOTAL(3,C$1:C52)</f>
        <v>52</v>
      </c>
      <c r="B53" s="15" t="s">
        <v>223</v>
      </c>
      <c r="C53" s="7" t="s">
        <v>224</v>
      </c>
      <c r="D53" s="16" t="s">
        <v>225</v>
      </c>
      <c r="E53" s="17" t="s">
        <v>226</v>
      </c>
      <c r="F53" s="10" t="s">
        <v>214</v>
      </c>
      <c r="H53" s="21" t="s">
        <v>24</v>
      </c>
      <c r="I53" s="31">
        <f>VLOOKUP(Таблица2[[#This Row],[канал сбыта]],справочники!A:D,4,0)</f>
        <v>3</v>
      </c>
      <c r="J53" s="32">
        <f>VLOOKUP(Таблица2[[#This Row],[канал сбыта]],справочники!A:E,5,0)</f>
        <v>0.00347222222222222</v>
      </c>
      <c r="K53" s="33">
        <f>VLOOKUP(Таблица2[[#This Row],[канал сбыта]],справочники!A:E,2,0)</f>
        <v>0.333333333333333</v>
      </c>
      <c r="L53" s="33">
        <f>VLOOKUP(Таблица2[[#This Row],[канал сбыта]],справочники!A:E,3,0)</f>
        <v>0.416666666666667</v>
      </c>
      <c r="M53" s="33">
        <v>0.284722222222222</v>
      </c>
      <c r="N53" s="34"/>
      <c r="O53" s="26">
        <v>2548</v>
      </c>
      <c r="P53" s="27">
        <f>IFERROR(Таблица2[[#This Row],[сумма отгрузки текущая]]/40,"")</f>
        <v>63.7</v>
      </c>
      <c r="Q53" s="35">
        <f>IFERROR(ROUNDUP(Таблица2[[#This Row],[кол-во ед. продукции]]/20,0),"")</f>
        <v>4</v>
      </c>
      <c r="R53" s="26">
        <f t="shared" si="0"/>
        <v>2802.8</v>
      </c>
      <c r="S53" s="27">
        <f>IFERROR(Таблица2[[#This Row],[сумма отгрузки план]]/40,"")</f>
        <v>70.07</v>
      </c>
      <c r="T53" s="36">
        <f>IFERROR(ROUNDUP(Таблица2[[#This Row],[кол-во продукции план]]/20,0),"")</f>
        <v>4</v>
      </c>
    </row>
    <row r="54" ht="43.2" spans="1:20">
      <c r="A54" s="11">
        <f>SUBTOTAL(3,C$1:C53)</f>
        <v>53</v>
      </c>
      <c r="B54" s="15" t="s">
        <v>227</v>
      </c>
      <c r="C54" s="7" t="s">
        <v>228</v>
      </c>
      <c r="D54" s="16" t="s">
        <v>229</v>
      </c>
      <c r="E54" s="17" t="s">
        <v>230</v>
      </c>
      <c r="F54" s="10" t="s">
        <v>214</v>
      </c>
      <c r="H54" s="21" t="s">
        <v>55</v>
      </c>
      <c r="I54" s="31">
        <f>VLOOKUP(Таблица2[[#This Row],[канал сбыта]],справочники!A:D,4,0)</f>
        <v>3</v>
      </c>
      <c r="J54" s="32">
        <f>VLOOKUP(Таблица2[[#This Row],[канал сбыта]],справочники!A:E,5,0)</f>
        <v>0.00486111111111111</v>
      </c>
      <c r="K54" s="33">
        <f>VLOOKUP(Таблица2[[#This Row],[канал сбыта]],справочники!A:E,2,0)</f>
        <v>0.333333333333333</v>
      </c>
      <c r="L54" s="33">
        <f>VLOOKUP(Таблица2[[#This Row],[канал сбыта]],справочники!A:E,3,0)</f>
        <v>0.5</v>
      </c>
      <c r="M54" s="33">
        <v>0.305555555555556</v>
      </c>
      <c r="N54" s="34"/>
      <c r="O54" s="26">
        <v>5510</v>
      </c>
      <c r="P54" s="27">
        <f>IFERROR(Таблица2[[#This Row],[сумма отгрузки текущая]]/40,"")</f>
        <v>137.75</v>
      </c>
      <c r="Q54" s="35">
        <f>IFERROR(ROUNDUP(Таблица2[[#This Row],[кол-во ед. продукции]]/20,0),"")</f>
        <v>7</v>
      </c>
      <c r="R54" s="26">
        <f t="shared" si="0"/>
        <v>6061</v>
      </c>
      <c r="S54" s="27">
        <f>IFERROR(Таблица2[[#This Row],[сумма отгрузки план]]/40,"")</f>
        <v>151.525</v>
      </c>
      <c r="T54" s="36">
        <f>IFERROR(ROUNDUP(Таблица2[[#This Row],[кол-во продукции план]]/20,0),"")</f>
        <v>8</v>
      </c>
    </row>
    <row r="55" ht="43.2" spans="1:20">
      <c r="A55" s="11">
        <f>SUBTOTAL(3,C$1:C54)</f>
        <v>54</v>
      </c>
      <c r="B55" s="15" t="s">
        <v>231</v>
      </c>
      <c r="C55" s="7" t="s">
        <v>232</v>
      </c>
      <c r="D55" s="16" t="s">
        <v>233</v>
      </c>
      <c r="E55" s="17" t="s">
        <v>234</v>
      </c>
      <c r="F55" s="10" t="s">
        <v>214</v>
      </c>
      <c r="H55" s="21" t="s">
        <v>24</v>
      </c>
      <c r="I55" s="31">
        <f>VLOOKUP(Таблица2[[#This Row],[канал сбыта]],справочники!A:D,4,0)</f>
        <v>3</v>
      </c>
      <c r="J55" s="32">
        <f>VLOOKUP(Таблица2[[#This Row],[канал сбыта]],справочники!A:E,5,0)</f>
        <v>0.00347222222222222</v>
      </c>
      <c r="K55" s="33">
        <f>VLOOKUP(Таблица2[[#This Row],[канал сбыта]],справочники!A:E,2,0)</f>
        <v>0.333333333333333</v>
      </c>
      <c r="L55" s="33">
        <f>VLOOKUP(Таблица2[[#This Row],[канал сбыта]],справочники!A:E,3,0)</f>
        <v>0.416666666666667</v>
      </c>
      <c r="M55" s="33">
        <v>0.315972222222222</v>
      </c>
      <c r="N55" s="34"/>
      <c r="O55" s="26">
        <v>557</v>
      </c>
      <c r="P55" s="27">
        <f>IFERROR(Таблица2[[#This Row],[сумма отгрузки текущая]]/40,"")</f>
        <v>13.925</v>
      </c>
      <c r="Q55" s="35">
        <f>IFERROR(ROUNDUP(Таблица2[[#This Row],[кол-во ед. продукции]]/20,0),"")</f>
        <v>1</v>
      </c>
      <c r="R55" s="26">
        <f t="shared" si="0"/>
        <v>612.7</v>
      </c>
      <c r="S55" s="27">
        <f>IFERROR(Таблица2[[#This Row],[сумма отгрузки план]]/40,"")</f>
        <v>15.3175</v>
      </c>
      <c r="T55" s="36">
        <f>IFERROR(ROUNDUP(Таблица2[[#This Row],[кол-во продукции план]]/20,0),"")</f>
        <v>1</v>
      </c>
    </row>
    <row r="56" ht="28.8" spans="1:20">
      <c r="A56" s="11">
        <f>SUBTOTAL(3,C$1:C55)</f>
        <v>55</v>
      </c>
      <c r="B56" s="15">
        <v>541</v>
      </c>
      <c r="C56" s="7" t="s">
        <v>235</v>
      </c>
      <c r="D56" s="16" t="s">
        <v>236</v>
      </c>
      <c r="E56" s="17" t="s">
        <v>237</v>
      </c>
      <c r="F56" s="10" t="s">
        <v>214</v>
      </c>
      <c r="H56" s="21" t="s">
        <v>24</v>
      </c>
      <c r="I56" s="31">
        <f>VLOOKUP(Таблица2[[#This Row],[канал сбыта]],справочники!A:D,4,0)</f>
        <v>3</v>
      </c>
      <c r="J56" s="32">
        <f>VLOOKUP(Таблица2[[#This Row],[канал сбыта]],справочники!A:E,5,0)</f>
        <v>0.00347222222222222</v>
      </c>
      <c r="K56" s="33">
        <f>VLOOKUP(Таблица2[[#This Row],[канал сбыта]],справочники!A:E,2,0)</f>
        <v>0.333333333333333</v>
      </c>
      <c r="L56" s="33">
        <f>VLOOKUP(Таблица2[[#This Row],[канал сбыта]],справочники!A:E,3,0)</f>
        <v>0.416666666666667</v>
      </c>
      <c r="M56" s="33">
        <v>0.326388888888889</v>
      </c>
      <c r="N56" s="34"/>
      <c r="O56" s="26">
        <v>1121</v>
      </c>
      <c r="P56" s="27">
        <f>IFERROR(Таблица2[[#This Row],[сумма отгрузки текущая]]/40,"")</f>
        <v>28.025</v>
      </c>
      <c r="Q56" s="35">
        <f>IFERROR(ROUNDUP(Таблица2[[#This Row],[кол-во ед. продукции]]/20,0),"")</f>
        <v>2</v>
      </c>
      <c r="R56" s="26">
        <f t="shared" si="0"/>
        <v>1233.1</v>
      </c>
      <c r="S56" s="27">
        <f>IFERROR(Таблица2[[#This Row],[сумма отгрузки план]]/40,"")</f>
        <v>30.8275</v>
      </c>
      <c r="T56" s="36">
        <f>IFERROR(ROUNDUP(Таблица2[[#This Row],[кол-во продукции план]]/20,0),"")</f>
        <v>2</v>
      </c>
    </row>
    <row r="57" ht="28.8" spans="1:20">
      <c r="A57" s="11">
        <f>SUBTOTAL(3,C$1:C56)</f>
        <v>56</v>
      </c>
      <c r="B57" s="15">
        <v>594</v>
      </c>
      <c r="C57" s="7" t="s">
        <v>238</v>
      </c>
      <c r="D57" s="16" t="s">
        <v>236</v>
      </c>
      <c r="E57" s="17" t="s">
        <v>237</v>
      </c>
      <c r="F57" s="10" t="s">
        <v>214</v>
      </c>
      <c r="H57" s="21" t="s">
        <v>24</v>
      </c>
      <c r="I57" s="31">
        <f>VLOOKUP(Таблица2[[#This Row],[канал сбыта]],справочники!A:D,4,0)</f>
        <v>3</v>
      </c>
      <c r="J57" s="32">
        <f>VLOOKUP(Таблица2[[#This Row],[канал сбыта]],справочники!A:E,5,0)</f>
        <v>0.00347222222222222</v>
      </c>
      <c r="K57" s="33">
        <f>VLOOKUP(Таблица2[[#This Row],[канал сбыта]],справочники!A:E,2,0)</f>
        <v>0.333333333333333</v>
      </c>
      <c r="L57" s="33">
        <f>VLOOKUP(Таблица2[[#This Row],[канал сбыта]],справочники!A:E,3,0)</f>
        <v>0.416666666666667</v>
      </c>
      <c r="M57" s="33">
        <v>0.329861111111111</v>
      </c>
      <c r="N57" s="34"/>
      <c r="O57" s="26">
        <v>641</v>
      </c>
      <c r="P57" s="27">
        <f>IFERROR(Таблица2[[#This Row],[сумма отгрузки текущая]]/40,"")</f>
        <v>16.025</v>
      </c>
      <c r="Q57" s="35">
        <f>IFERROR(ROUNDUP(Таблица2[[#This Row],[кол-во ед. продукции]]/20,0),"")</f>
        <v>1</v>
      </c>
      <c r="R57" s="26">
        <f t="shared" si="0"/>
        <v>705.1</v>
      </c>
      <c r="S57" s="27">
        <f>IFERROR(Таблица2[[#This Row],[сумма отгрузки план]]/40,"")</f>
        <v>17.6275</v>
      </c>
      <c r="T57" s="36">
        <f>IFERROR(ROUNDUP(Таблица2[[#This Row],[кол-во продукции план]]/20,0),"")</f>
        <v>1</v>
      </c>
    </row>
    <row r="58" ht="28.8" spans="1:20">
      <c r="A58" s="11">
        <f>SUBTOTAL(3,C$1:C57)</f>
        <v>57</v>
      </c>
      <c r="B58" s="15" t="s">
        <v>239</v>
      </c>
      <c r="C58" s="7" t="s">
        <v>240</v>
      </c>
      <c r="D58" s="16" t="s">
        <v>241</v>
      </c>
      <c r="E58" s="17" t="s">
        <v>242</v>
      </c>
      <c r="F58" s="10" t="s">
        <v>214</v>
      </c>
      <c r="H58" s="21" t="s">
        <v>55</v>
      </c>
      <c r="I58" s="31">
        <f>VLOOKUP(Таблица2[[#This Row],[канал сбыта]],справочники!A:D,4,0)</f>
        <v>3</v>
      </c>
      <c r="J58" s="32">
        <f>VLOOKUP(Таблица2[[#This Row],[канал сбыта]],справочники!A:E,5,0)</f>
        <v>0.00486111111111111</v>
      </c>
      <c r="K58" s="33">
        <f>VLOOKUP(Таблица2[[#This Row],[канал сбыта]],справочники!A:E,2,0)</f>
        <v>0.333333333333333</v>
      </c>
      <c r="L58" s="33">
        <f>VLOOKUP(Таблица2[[#This Row],[канал сбыта]],справочники!A:E,3,0)</f>
        <v>0.5</v>
      </c>
      <c r="M58" s="33">
        <v>0.340277777777778</v>
      </c>
      <c r="N58" s="34"/>
      <c r="O58" s="26">
        <v>8939</v>
      </c>
      <c r="P58" s="27">
        <f>IFERROR(Таблица2[[#This Row],[сумма отгрузки текущая]]/40,"")</f>
        <v>223.475</v>
      </c>
      <c r="Q58" s="35">
        <f>IFERROR(ROUNDUP(Таблица2[[#This Row],[кол-во ед. продукции]]/20,0),"")</f>
        <v>12</v>
      </c>
      <c r="R58" s="26">
        <f t="shared" si="0"/>
        <v>9832.9</v>
      </c>
      <c r="S58" s="27">
        <f>IFERROR(Таблица2[[#This Row],[сумма отгрузки план]]/40,"")</f>
        <v>245.8225</v>
      </c>
      <c r="T58" s="36">
        <f>IFERROR(ROUNDUP(Таблица2[[#This Row],[кол-во продукции план]]/20,0),"")</f>
        <v>13</v>
      </c>
    </row>
    <row r="59" ht="28.8" spans="1:20">
      <c r="A59" s="11">
        <f>SUBTOTAL(3,C$1:C58)</f>
        <v>58</v>
      </c>
      <c r="B59" s="15" t="s">
        <v>243</v>
      </c>
      <c r="C59" s="7" t="s">
        <v>244</v>
      </c>
      <c r="D59" s="16" t="s">
        <v>245</v>
      </c>
      <c r="E59" s="17" t="s">
        <v>246</v>
      </c>
      <c r="F59" s="10" t="s">
        <v>214</v>
      </c>
      <c r="H59" s="21" t="s">
        <v>91</v>
      </c>
      <c r="I59" s="31">
        <f>VLOOKUP(Таблица2[[#This Row],[канал сбыта]],справочники!A:D,4,0)</f>
        <v>3</v>
      </c>
      <c r="J59" s="32">
        <f>VLOOKUP(Таблица2[[#This Row],[канал сбыта]],справочники!A:E,5,0)</f>
        <v>0.00486111111111111</v>
      </c>
      <c r="K59" s="33">
        <f>VLOOKUP(Таблица2[[#This Row],[канал сбыта]],справочники!A:E,2,0)</f>
        <v>0.333333333333333</v>
      </c>
      <c r="L59" s="33">
        <f>VLOOKUP(Таблица2[[#This Row],[канал сбыта]],справочники!A:E,3,0)</f>
        <v>0.458333333333333</v>
      </c>
      <c r="M59" s="33">
        <v>0.354166666666667</v>
      </c>
      <c r="N59" s="34"/>
      <c r="O59" s="26">
        <v>640</v>
      </c>
      <c r="P59" s="27">
        <f>IFERROR(Таблица2[[#This Row],[сумма отгрузки текущая]]/40,"")</f>
        <v>16</v>
      </c>
      <c r="Q59" s="35">
        <f>IFERROR(ROUNDUP(Таблица2[[#This Row],[кол-во ед. продукции]]/20,0),"")</f>
        <v>1</v>
      </c>
      <c r="R59" s="26">
        <f t="shared" si="0"/>
        <v>704</v>
      </c>
      <c r="S59" s="27">
        <f>IFERROR(Таблица2[[#This Row],[сумма отгрузки план]]/40,"")</f>
        <v>17.6</v>
      </c>
      <c r="T59" s="36">
        <f>IFERROR(ROUNDUP(Таблица2[[#This Row],[кол-во продукции план]]/20,0),"")</f>
        <v>1</v>
      </c>
    </row>
    <row r="60" ht="28.8" spans="1:20">
      <c r="A60" s="11">
        <f>SUBTOTAL(3,C$1:C59)</f>
        <v>59</v>
      </c>
      <c r="B60" s="15" t="s">
        <v>247</v>
      </c>
      <c r="C60" s="7" t="s">
        <v>248</v>
      </c>
      <c r="D60" s="16" t="s">
        <v>249</v>
      </c>
      <c r="E60" s="17" t="s">
        <v>250</v>
      </c>
      <c r="F60" s="10" t="s">
        <v>214</v>
      </c>
      <c r="H60" s="21" t="s">
        <v>63</v>
      </c>
      <c r="I60" s="31">
        <f>VLOOKUP(Таблица2[[#This Row],[канал сбыта]],справочники!A:D,4,0)</f>
        <v>3</v>
      </c>
      <c r="J60" s="32">
        <f>VLOOKUP(Таблица2[[#This Row],[канал сбыта]],справочники!A:E,5,0)</f>
        <v>0.00694444444444444</v>
      </c>
      <c r="K60" s="33">
        <f>VLOOKUP(Таблица2[[#This Row],[канал сбыта]],справочники!A:E,2,0)</f>
        <v>0.375</v>
      </c>
      <c r="L60" s="33">
        <f>VLOOKUP(Таблица2[[#This Row],[канал сбыта]],справочники!A:E,3,0)</f>
        <v>0.5</v>
      </c>
      <c r="M60" s="33">
        <v>0.364583333333333</v>
      </c>
      <c r="N60" s="34"/>
      <c r="O60" s="26">
        <v>7018</v>
      </c>
      <c r="P60" s="27">
        <f>IFERROR(Таблица2[[#This Row],[сумма отгрузки текущая]]/40,"")</f>
        <v>175.45</v>
      </c>
      <c r="Q60" s="35">
        <f>IFERROR(ROUNDUP(Таблица2[[#This Row],[кол-во ед. продукции]]/20,0),"")</f>
        <v>9</v>
      </c>
      <c r="R60" s="26">
        <f t="shared" si="0"/>
        <v>7719.8</v>
      </c>
      <c r="S60" s="27">
        <f>IFERROR(Таблица2[[#This Row],[сумма отгрузки план]]/40,"")</f>
        <v>192.995</v>
      </c>
      <c r="T60" s="36">
        <f>IFERROR(ROUNDUP(Таблица2[[#This Row],[кол-во продукции план]]/20,0),"")</f>
        <v>10</v>
      </c>
    </row>
    <row r="61" ht="28.8" spans="1:20">
      <c r="A61" s="11">
        <f>SUBTOTAL(3,C$1:C60)</f>
        <v>60</v>
      </c>
      <c r="B61" s="15" t="s">
        <v>251</v>
      </c>
      <c r="C61" s="7" t="s">
        <v>252</v>
      </c>
      <c r="D61" s="16" t="s">
        <v>253</v>
      </c>
      <c r="E61" s="16" t="s">
        <v>254</v>
      </c>
      <c r="F61" s="10" t="s">
        <v>214</v>
      </c>
      <c r="H61" s="21" t="s">
        <v>91</v>
      </c>
      <c r="I61" s="31">
        <f>VLOOKUP(Таблица2[[#This Row],[канал сбыта]],справочники!A:D,4,0)</f>
        <v>3</v>
      </c>
      <c r="J61" s="32">
        <f>VLOOKUP(Таблица2[[#This Row],[канал сбыта]],справочники!A:E,5,0)</f>
        <v>0.00486111111111111</v>
      </c>
      <c r="K61" s="33">
        <f>VLOOKUP(Таблица2[[#This Row],[канал сбыта]],справочники!A:E,2,0)</f>
        <v>0.333333333333333</v>
      </c>
      <c r="L61" s="33">
        <f>VLOOKUP(Таблица2[[#This Row],[канал сбыта]],справочники!A:E,3,0)</f>
        <v>0.458333333333333</v>
      </c>
      <c r="M61" s="33">
        <v>0.375</v>
      </c>
      <c r="N61" s="34"/>
      <c r="O61" s="26">
        <v>2956</v>
      </c>
      <c r="P61" s="27">
        <f>IFERROR(Таблица2[[#This Row],[сумма отгрузки текущая]]/40,"")</f>
        <v>73.9</v>
      </c>
      <c r="Q61" s="35">
        <f>IFERROR(ROUNDUP(Таблица2[[#This Row],[кол-во ед. продукции]]/20,0),"")</f>
        <v>4</v>
      </c>
      <c r="R61" s="26">
        <f t="shared" si="0"/>
        <v>3251.6</v>
      </c>
      <c r="S61" s="27">
        <f>IFERROR(Таблица2[[#This Row],[сумма отгрузки план]]/40,"")</f>
        <v>81.29</v>
      </c>
      <c r="T61" s="36">
        <f>IFERROR(ROUNDUP(Таблица2[[#This Row],[кол-во продукции план]]/20,0),"")</f>
        <v>5</v>
      </c>
    </row>
    <row r="62" ht="28.8" spans="1:20">
      <c r="A62" s="11">
        <f>SUBTOTAL(3,C$1:C61)</f>
        <v>61</v>
      </c>
      <c r="B62" s="15" t="s">
        <v>255</v>
      </c>
      <c r="C62" s="7" t="s">
        <v>256</v>
      </c>
      <c r="D62" s="16" t="s">
        <v>253</v>
      </c>
      <c r="E62" s="17" t="s">
        <v>254</v>
      </c>
      <c r="F62" s="10" t="s">
        <v>214</v>
      </c>
      <c r="H62" s="21" t="s">
        <v>24</v>
      </c>
      <c r="I62" s="31">
        <f>VLOOKUP(Таблица2[[#This Row],[канал сбыта]],справочники!A:D,4,0)</f>
        <v>3</v>
      </c>
      <c r="J62" s="32">
        <f>VLOOKUP(Таблица2[[#This Row],[канал сбыта]],справочники!A:E,5,0)</f>
        <v>0.00347222222222222</v>
      </c>
      <c r="K62" s="33">
        <f>VLOOKUP(Таблица2[[#This Row],[канал сбыта]],справочники!A:E,2,0)</f>
        <v>0.333333333333333</v>
      </c>
      <c r="L62" s="33">
        <f>VLOOKUP(Таблица2[[#This Row],[канал сбыта]],справочники!A:E,3,0)</f>
        <v>0.416666666666667</v>
      </c>
      <c r="M62" s="33">
        <v>0.385416666666667</v>
      </c>
      <c r="N62" s="34"/>
      <c r="O62" s="26">
        <v>362</v>
      </c>
      <c r="P62" s="27">
        <f>IFERROR(Таблица2[[#This Row],[сумма отгрузки текущая]]/40,"")</f>
        <v>9.05</v>
      </c>
      <c r="Q62" s="35">
        <f>IFERROR(ROUNDUP(Таблица2[[#This Row],[кол-во ед. продукции]]/20,0),"")</f>
        <v>1</v>
      </c>
      <c r="R62" s="26">
        <f t="shared" si="0"/>
        <v>398.2</v>
      </c>
      <c r="S62" s="27">
        <f>IFERROR(Таблица2[[#This Row],[сумма отгрузки план]]/40,"")</f>
        <v>9.955</v>
      </c>
      <c r="T62" s="36">
        <f>IFERROR(ROUNDUP(Таблица2[[#This Row],[кол-во продукции план]]/20,0),"")</f>
        <v>1</v>
      </c>
    </row>
    <row r="63" ht="28.8" spans="1:20">
      <c r="A63" s="11">
        <f>SUBTOTAL(3,C$1:C62)</f>
        <v>62</v>
      </c>
      <c r="B63" s="15" t="s">
        <v>257</v>
      </c>
      <c r="C63" s="7" t="s">
        <v>258</v>
      </c>
      <c r="D63" s="16" t="s">
        <v>259</v>
      </c>
      <c r="E63" s="17" t="s">
        <v>260</v>
      </c>
      <c r="F63" s="10" t="s">
        <v>214</v>
      </c>
      <c r="H63" s="21" t="s">
        <v>24</v>
      </c>
      <c r="I63" s="31">
        <f>VLOOKUP(Таблица2[[#This Row],[канал сбыта]],справочники!A:D,4,0)</f>
        <v>3</v>
      </c>
      <c r="J63" s="32">
        <f>VLOOKUP(Таблица2[[#This Row],[канал сбыта]],справочники!A:E,5,0)</f>
        <v>0.00347222222222222</v>
      </c>
      <c r="K63" s="33">
        <f>VLOOKUP(Таблица2[[#This Row],[канал сбыта]],справочники!A:E,2,0)</f>
        <v>0.333333333333333</v>
      </c>
      <c r="L63" s="33">
        <f>VLOOKUP(Таблица2[[#This Row],[канал сбыта]],справочники!A:E,3,0)</f>
        <v>0.416666666666667</v>
      </c>
      <c r="M63" s="33">
        <v>0.395833333333333</v>
      </c>
      <c r="N63" s="34"/>
      <c r="O63" s="26">
        <v>442</v>
      </c>
      <c r="P63" s="27">
        <f>IFERROR(Таблица2[[#This Row],[сумма отгрузки текущая]]/40,"")</f>
        <v>11.05</v>
      </c>
      <c r="Q63" s="35">
        <f>IFERROR(ROUNDUP(Таблица2[[#This Row],[кол-во ед. продукции]]/20,0),"")</f>
        <v>1</v>
      </c>
      <c r="R63" s="26">
        <f t="shared" si="0"/>
        <v>486.2</v>
      </c>
      <c r="S63" s="27">
        <f>IFERROR(Таблица2[[#This Row],[сумма отгрузки план]]/40,"")</f>
        <v>12.155</v>
      </c>
      <c r="T63" s="36">
        <f>IFERROR(ROUNDUP(Таблица2[[#This Row],[кол-во продукции план]]/20,0),"")</f>
        <v>1</v>
      </c>
    </row>
    <row r="64" ht="28.8" spans="1:20">
      <c r="A64" s="11">
        <f>SUBTOTAL(3,C$1:C63)</f>
        <v>63</v>
      </c>
      <c r="B64" s="15" t="s">
        <v>261</v>
      </c>
      <c r="C64" s="7" t="s">
        <v>262</v>
      </c>
      <c r="D64" s="16" t="s">
        <v>263</v>
      </c>
      <c r="E64" s="17" t="s">
        <v>264</v>
      </c>
      <c r="F64" s="10" t="s">
        <v>214</v>
      </c>
      <c r="H64" s="21" t="s">
        <v>91</v>
      </c>
      <c r="I64" s="31">
        <f>VLOOKUP(Таблица2[[#This Row],[канал сбыта]],справочники!A:D,4,0)</f>
        <v>3</v>
      </c>
      <c r="J64" s="32">
        <f>VLOOKUP(Таблица2[[#This Row],[канал сбыта]],справочники!A:E,5,0)</f>
        <v>0.00486111111111111</v>
      </c>
      <c r="K64" s="33">
        <f>VLOOKUP(Таблица2[[#This Row],[канал сбыта]],справочники!A:E,2,0)</f>
        <v>0.333333333333333</v>
      </c>
      <c r="L64" s="33">
        <f>VLOOKUP(Таблица2[[#This Row],[канал сбыта]],справочники!A:E,3,0)</f>
        <v>0.458333333333333</v>
      </c>
      <c r="M64" s="33">
        <v>0.40625</v>
      </c>
      <c r="N64" s="34"/>
      <c r="O64" s="26">
        <v>5610</v>
      </c>
      <c r="P64" s="27">
        <f>IFERROR(Таблица2[[#This Row],[сумма отгрузки текущая]]/40,"")</f>
        <v>140.25</v>
      </c>
      <c r="Q64" s="35">
        <f>IFERROR(ROUNDUP(Таблица2[[#This Row],[кол-во ед. продукции]]/20,0),"")</f>
        <v>8</v>
      </c>
      <c r="R64" s="26">
        <f t="shared" si="0"/>
        <v>6171</v>
      </c>
      <c r="S64" s="27">
        <f>IFERROR(Таблица2[[#This Row],[сумма отгрузки план]]/40,"")</f>
        <v>154.275</v>
      </c>
      <c r="T64" s="36">
        <f>IFERROR(ROUNDUP(Таблица2[[#This Row],[кол-во продукции план]]/20,0),"")</f>
        <v>8</v>
      </c>
    </row>
    <row r="65" ht="28.8" spans="1:20">
      <c r="A65" s="11">
        <f>SUBTOTAL(3,C$1:C64)</f>
        <v>64</v>
      </c>
      <c r="B65" s="15" t="s">
        <v>265</v>
      </c>
      <c r="C65" s="7" t="s">
        <v>266</v>
      </c>
      <c r="D65" s="16" t="s">
        <v>267</v>
      </c>
      <c r="E65" s="17" t="s">
        <v>268</v>
      </c>
      <c r="F65" s="10" t="s">
        <v>214</v>
      </c>
      <c r="H65" s="21" t="s">
        <v>55</v>
      </c>
      <c r="I65" s="31">
        <f>VLOOKUP(Таблица2[[#This Row],[канал сбыта]],справочники!A:D,4,0)</f>
        <v>3</v>
      </c>
      <c r="J65" s="32">
        <f>VLOOKUP(Таблица2[[#This Row],[канал сбыта]],справочники!A:E,5,0)</f>
        <v>0.00486111111111111</v>
      </c>
      <c r="K65" s="33">
        <f>VLOOKUP(Таблица2[[#This Row],[канал сбыта]],справочники!A:E,2,0)</f>
        <v>0.333333333333333</v>
      </c>
      <c r="L65" s="33">
        <f>VLOOKUP(Таблица2[[#This Row],[канал сбыта]],справочники!A:E,3,0)</f>
        <v>0.5</v>
      </c>
      <c r="M65" s="33">
        <v>0.416666666666667</v>
      </c>
      <c r="N65" s="34"/>
      <c r="O65" s="26">
        <v>6162</v>
      </c>
      <c r="P65" s="27">
        <f>IFERROR(Таблица2[[#This Row],[сумма отгрузки текущая]]/40,"")</f>
        <v>154.05</v>
      </c>
      <c r="Q65" s="35">
        <f>IFERROR(ROUNDUP(Таблица2[[#This Row],[кол-во ед. продукции]]/20,0),"")</f>
        <v>8</v>
      </c>
      <c r="R65" s="26">
        <f t="shared" si="0"/>
        <v>6778.2</v>
      </c>
      <c r="S65" s="27">
        <f>IFERROR(Таблица2[[#This Row],[сумма отгрузки план]]/40,"")</f>
        <v>169.455</v>
      </c>
      <c r="T65" s="36">
        <f>IFERROR(ROUNDUP(Таблица2[[#This Row],[кол-во продукции план]]/20,0),"")</f>
        <v>9</v>
      </c>
    </row>
    <row r="66" ht="28.8" spans="1:20">
      <c r="A66" s="11">
        <f>SUBTOTAL(3,C$1:C65)</f>
        <v>65</v>
      </c>
      <c r="B66" s="15" t="s">
        <v>269</v>
      </c>
      <c r="C66" s="7" t="s">
        <v>270</v>
      </c>
      <c r="D66" s="16" t="s">
        <v>271</v>
      </c>
      <c r="E66" s="17" t="s">
        <v>268</v>
      </c>
      <c r="F66" s="10" t="s">
        <v>214</v>
      </c>
      <c r="H66" s="21" t="s">
        <v>63</v>
      </c>
      <c r="I66" s="31">
        <f>VLOOKUP(Таблица2[[#This Row],[канал сбыта]],справочники!A:D,4,0)</f>
        <v>3</v>
      </c>
      <c r="J66" s="32">
        <f>VLOOKUP(Таблица2[[#This Row],[канал сбыта]],справочники!A:E,5,0)</f>
        <v>0.00694444444444444</v>
      </c>
      <c r="K66" s="33">
        <f>VLOOKUP(Таблица2[[#This Row],[канал сбыта]],справочники!A:E,2,0)</f>
        <v>0.375</v>
      </c>
      <c r="L66" s="33">
        <f>VLOOKUP(Таблица2[[#This Row],[канал сбыта]],справочники!A:E,3,0)</f>
        <v>0.5</v>
      </c>
      <c r="M66" s="33">
        <v>0.427083333333333</v>
      </c>
      <c r="N66" s="34"/>
      <c r="O66" s="26">
        <v>6811</v>
      </c>
      <c r="P66" s="27">
        <f>IFERROR(Таблица2[[#This Row],[сумма отгрузки текущая]]/40,"")</f>
        <v>170.275</v>
      </c>
      <c r="Q66" s="35">
        <f>IFERROR(ROUNDUP(Таблица2[[#This Row],[кол-во ед. продукции]]/20,0),"")</f>
        <v>9</v>
      </c>
      <c r="R66" s="26">
        <f t="shared" si="0"/>
        <v>7492.1</v>
      </c>
      <c r="S66" s="27">
        <f>IFERROR(Таблица2[[#This Row],[сумма отгрузки план]]/40,"")</f>
        <v>187.3025</v>
      </c>
      <c r="T66" s="36">
        <f>IFERROR(ROUNDUP(Таблица2[[#This Row],[кол-во продукции план]]/20,0),"")</f>
        <v>10</v>
      </c>
    </row>
    <row r="67" ht="43.2" spans="1:20">
      <c r="A67" s="11">
        <f>SUBTOTAL(3,C$1:C66)</f>
        <v>66</v>
      </c>
      <c r="B67" s="15" t="s">
        <v>272</v>
      </c>
      <c r="C67" s="7" t="s">
        <v>273</v>
      </c>
      <c r="D67" s="16" t="s">
        <v>274</v>
      </c>
      <c r="E67" s="17" t="s">
        <v>275</v>
      </c>
      <c r="F67" s="10" t="s">
        <v>214</v>
      </c>
      <c r="H67" s="21" t="s">
        <v>63</v>
      </c>
      <c r="I67" s="31">
        <f>VLOOKUP(Таблица2[[#This Row],[канал сбыта]],справочники!A:D,4,0)</f>
        <v>3</v>
      </c>
      <c r="J67" s="32">
        <f>VLOOKUP(Таблица2[[#This Row],[канал сбыта]],справочники!A:E,5,0)</f>
        <v>0.00694444444444444</v>
      </c>
      <c r="K67" s="33">
        <f>VLOOKUP(Таблица2[[#This Row],[канал сбыта]],справочники!A:E,2,0)</f>
        <v>0.375</v>
      </c>
      <c r="L67" s="33">
        <f>VLOOKUP(Таблица2[[#This Row],[канал сбыта]],справочники!A:E,3,0)</f>
        <v>0.5</v>
      </c>
      <c r="M67" s="33">
        <v>0.4375</v>
      </c>
      <c r="N67" s="34"/>
      <c r="O67" s="26">
        <v>1008.5</v>
      </c>
      <c r="P67" s="27">
        <f>IFERROR(Таблица2[[#This Row],[сумма отгрузки текущая]]/40,"")</f>
        <v>25.2125</v>
      </c>
      <c r="Q67" s="35">
        <f>IFERROR(ROUNDUP(Таблица2[[#This Row],[кол-во ед. продукции]]/20,0),"")</f>
        <v>2</v>
      </c>
      <c r="R67" s="26">
        <f t="shared" ref="R67:R152" si="1">O67*IF(ABS((N67-M67)*1440)&gt;180,IF((N67-M67)*1440&gt;0,0.85,1.1),IF(ABS((N67-M67)*1440)&gt;120,IF((N67-M67)*1440&gt;0,0.93,1.07),IF(ABS((N67-M67)*1440)&gt;60,IF((N67-M67)*1440&gt;0,0.97,1.03),1)))</f>
        <v>1109.35</v>
      </c>
      <c r="S67" s="27">
        <f>IFERROR(Таблица2[[#This Row],[сумма отгрузки план]]/40,"")</f>
        <v>27.73375</v>
      </c>
      <c r="T67" s="36">
        <f>IFERROR(ROUNDUP(Таблица2[[#This Row],[кол-во продукции план]]/20,0),"")</f>
        <v>2</v>
      </c>
    </row>
    <row r="68" ht="28.8" spans="1:20">
      <c r="A68" s="11">
        <f>SUBTOTAL(3,C$1:C67)</f>
        <v>67</v>
      </c>
      <c r="B68" s="15" t="s">
        <v>276</v>
      </c>
      <c r="C68" s="7" t="s">
        <v>277</v>
      </c>
      <c r="D68" s="16" t="s">
        <v>278</v>
      </c>
      <c r="E68" s="17" t="s">
        <v>279</v>
      </c>
      <c r="F68" s="10" t="s">
        <v>214</v>
      </c>
      <c r="H68" s="21" t="s">
        <v>63</v>
      </c>
      <c r="I68" s="31">
        <f>VLOOKUP(Таблица2[[#This Row],[канал сбыта]],справочники!A:D,4,0)</f>
        <v>3</v>
      </c>
      <c r="J68" s="32">
        <f>VLOOKUP(Таблица2[[#This Row],[канал сбыта]],справочники!A:E,5,0)</f>
        <v>0.00694444444444444</v>
      </c>
      <c r="K68" s="33">
        <f>VLOOKUP(Таблица2[[#This Row],[канал сбыта]],справочники!A:E,2,0)</f>
        <v>0.375</v>
      </c>
      <c r="L68" s="33">
        <f>VLOOKUP(Таблица2[[#This Row],[канал сбыта]],справочники!A:E,3,0)</f>
        <v>0.5</v>
      </c>
      <c r="M68" s="33">
        <v>0.447916666666667</v>
      </c>
      <c r="N68" s="34"/>
      <c r="O68" s="26">
        <v>1073</v>
      </c>
      <c r="P68" s="27">
        <f>IFERROR(Таблица2[[#This Row],[сумма отгрузки текущая]]/40,"")</f>
        <v>26.825</v>
      </c>
      <c r="Q68" s="35">
        <f>IFERROR(ROUNDUP(Таблица2[[#This Row],[кол-во ед. продукции]]/20,0),"")</f>
        <v>2</v>
      </c>
      <c r="R68" s="26">
        <f t="shared" si="1"/>
        <v>1180.3</v>
      </c>
      <c r="S68" s="27">
        <f>IFERROR(Таблица2[[#This Row],[сумма отгрузки план]]/40,"")</f>
        <v>29.5075</v>
      </c>
      <c r="T68" s="36">
        <f>IFERROR(ROUNDUP(Таблица2[[#This Row],[кол-во продукции план]]/20,0),"")</f>
        <v>2</v>
      </c>
    </row>
    <row r="69" ht="28.8" spans="1:20">
      <c r="A69" s="11">
        <f>SUBTOTAL(3,C$1:C68)</f>
        <v>68</v>
      </c>
      <c r="B69" s="15" t="s">
        <v>280</v>
      </c>
      <c r="C69" s="7" t="s">
        <v>281</v>
      </c>
      <c r="D69" s="16" t="s">
        <v>282</v>
      </c>
      <c r="E69" s="17" t="s">
        <v>283</v>
      </c>
      <c r="F69" s="10" t="s">
        <v>214</v>
      </c>
      <c r="H69" s="21" t="s">
        <v>91</v>
      </c>
      <c r="I69" s="31">
        <f>VLOOKUP(Таблица2[[#This Row],[канал сбыта]],справочники!A:D,4,0)</f>
        <v>3</v>
      </c>
      <c r="J69" s="32">
        <f>VLOOKUP(Таблица2[[#This Row],[канал сбыта]],справочники!A:E,5,0)</f>
        <v>0.00486111111111111</v>
      </c>
      <c r="K69" s="33">
        <f>VLOOKUP(Таблица2[[#This Row],[канал сбыта]],справочники!A:E,2,0)</f>
        <v>0.333333333333333</v>
      </c>
      <c r="L69" s="33">
        <f>VLOOKUP(Таблица2[[#This Row],[канал сбыта]],справочники!A:E,3,0)</f>
        <v>0.458333333333333</v>
      </c>
      <c r="M69" s="33">
        <v>0.458333333333333</v>
      </c>
      <c r="N69" s="34"/>
      <c r="O69" s="26">
        <v>5724</v>
      </c>
      <c r="P69" s="27">
        <f>IFERROR(Таблица2[[#This Row],[сумма отгрузки текущая]]/40,"")</f>
        <v>143.1</v>
      </c>
      <c r="Q69" s="35">
        <f>IFERROR(ROUNDUP(Таблица2[[#This Row],[кол-во ед. продукции]]/20,0),"")</f>
        <v>8</v>
      </c>
      <c r="R69" s="26">
        <f t="shared" si="1"/>
        <v>6296.4</v>
      </c>
      <c r="S69" s="27">
        <f>IFERROR(Таблица2[[#This Row],[сумма отгрузки план]]/40,"")</f>
        <v>157.41</v>
      </c>
      <c r="T69" s="36">
        <f>IFERROR(ROUNDUP(Таблица2[[#This Row],[кол-во продукции план]]/20,0),"")</f>
        <v>8</v>
      </c>
    </row>
    <row r="70" ht="28.8" spans="1:20">
      <c r="A70" s="11">
        <f>SUBTOTAL(3,C$1:C69)</f>
        <v>69</v>
      </c>
      <c r="B70" s="15" t="s">
        <v>284</v>
      </c>
      <c r="C70" s="7" t="s">
        <v>285</v>
      </c>
      <c r="D70" s="16" t="s">
        <v>286</v>
      </c>
      <c r="E70" s="17" t="s">
        <v>287</v>
      </c>
      <c r="F70" s="10" t="s">
        <v>214</v>
      </c>
      <c r="H70" s="21" t="s">
        <v>108</v>
      </c>
      <c r="I70" s="31">
        <f>VLOOKUP(Таблица2[[#This Row],[канал сбыта]],справочники!A:D,4,0)</f>
        <v>3</v>
      </c>
      <c r="J70" s="32">
        <f>VLOOKUP(Таблица2[[#This Row],[канал сбыта]],справочники!A:E,5,0)</f>
        <v>0.00486111111111111</v>
      </c>
      <c r="K70" s="33">
        <f>VLOOKUP(Таблица2[[#This Row],[канал сбыта]],справочники!A:E,2,0)</f>
        <v>0.375</v>
      </c>
      <c r="L70" s="33">
        <f>VLOOKUP(Таблица2[[#This Row],[канал сбыта]],справочники!A:E,3,0)</f>
        <v>0.520833333333333</v>
      </c>
      <c r="M70" s="33">
        <v>0.46875</v>
      </c>
      <c r="N70" s="34"/>
      <c r="O70" s="26">
        <v>847</v>
      </c>
      <c r="P70" s="27">
        <f>IFERROR(Таблица2[[#This Row],[сумма отгрузки текущая]]/40,"")</f>
        <v>21.175</v>
      </c>
      <c r="Q70" s="35">
        <f>IFERROR(ROUNDUP(Таблица2[[#This Row],[кол-во ед. продукции]]/20,0),"")</f>
        <v>2</v>
      </c>
      <c r="R70" s="26">
        <f t="shared" si="1"/>
        <v>931.7</v>
      </c>
      <c r="S70" s="27">
        <f>IFERROR(Таблица2[[#This Row],[сумма отгрузки план]]/40,"")</f>
        <v>23.2925</v>
      </c>
      <c r="T70" s="36">
        <f>IFERROR(ROUNDUP(Таблица2[[#This Row],[кол-во продукции план]]/20,0),"")</f>
        <v>2</v>
      </c>
    </row>
    <row r="71" ht="28.8" spans="1:20">
      <c r="A71" s="11">
        <f>SUBTOTAL(3,C$1:C70)</f>
        <v>70</v>
      </c>
      <c r="B71" s="15" t="s">
        <v>288</v>
      </c>
      <c r="C71" s="7" t="s">
        <v>289</v>
      </c>
      <c r="D71" s="16" t="s">
        <v>290</v>
      </c>
      <c r="E71" s="17" t="s">
        <v>291</v>
      </c>
      <c r="F71" s="10" t="s">
        <v>214</v>
      </c>
      <c r="H71" s="21" t="s">
        <v>24</v>
      </c>
      <c r="I71" s="31">
        <f>VLOOKUP(Таблица2[[#This Row],[канал сбыта]],справочники!A:D,4,0)</f>
        <v>3</v>
      </c>
      <c r="J71" s="32">
        <f>VLOOKUP(Таблица2[[#This Row],[канал сбыта]],справочники!A:E,5,0)</f>
        <v>0.00347222222222222</v>
      </c>
      <c r="K71" s="33">
        <f>VLOOKUP(Таблица2[[#This Row],[канал сбыта]],справочники!A:E,2,0)</f>
        <v>0.333333333333333</v>
      </c>
      <c r="L71" s="33">
        <f>VLOOKUP(Таблица2[[#This Row],[канал сбыта]],справочники!A:E,3,0)</f>
        <v>0.416666666666667</v>
      </c>
      <c r="M71" s="33">
        <v>0.479166666666667</v>
      </c>
      <c r="N71" s="34"/>
      <c r="O71" s="26">
        <v>1348</v>
      </c>
      <c r="P71" s="27">
        <f>IFERROR(Таблица2[[#This Row],[сумма отгрузки текущая]]/40,"")</f>
        <v>33.7</v>
      </c>
      <c r="Q71" s="35">
        <f>IFERROR(ROUNDUP(Таблица2[[#This Row],[кол-во ед. продукции]]/20,0),"")</f>
        <v>2</v>
      </c>
      <c r="R71" s="26">
        <f t="shared" si="1"/>
        <v>1482.8</v>
      </c>
      <c r="S71" s="27">
        <f>IFERROR(Таблица2[[#This Row],[сумма отгрузки план]]/40,"")</f>
        <v>37.07</v>
      </c>
      <c r="T71" s="36">
        <f>IFERROR(ROUNDUP(Таблица2[[#This Row],[кол-во продукции план]]/20,0),"")</f>
        <v>2</v>
      </c>
    </row>
    <row r="72" ht="28.8" spans="1:20">
      <c r="A72" s="11">
        <f>SUBTOTAL(3,C$1:C71)</f>
        <v>71</v>
      </c>
      <c r="B72" s="15" t="s">
        <v>292</v>
      </c>
      <c r="C72" s="7" t="s">
        <v>293</v>
      </c>
      <c r="D72" s="16" t="s">
        <v>294</v>
      </c>
      <c r="E72" s="16" t="s">
        <v>295</v>
      </c>
      <c r="F72" s="10" t="s">
        <v>214</v>
      </c>
      <c r="H72" s="21" t="s">
        <v>55</v>
      </c>
      <c r="I72" s="31">
        <f>VLOOKUP(Таблица2[[#This Row],[канал сбыта]],справочники!A:D,4,0)</f>
        <v>3</v>
      </c>
      <c r="J72" s="32">
        <f>VLOOKUP(Таблица2[[#This Row],[канал сбыта]],справочники!A:E,5,0)</f>
        <v>0.00486111111111111</v>
      </c>
      <c r="K72" s="33">
        <f>VLOOKUP(Таблица2[[#This Row],[канал сбыта]],справочники!A:E,2,0)</f>
        <v>0.333333333333333</v>
      </c>
      <c r="L72" s="33">
        <f>VLOOKUP(Таблица2[[#This Row],[канал сбыта]],справочники!A:E,3,0)</f>
        <v>0.5</v>
      </c>
      <c r="M72" s="33">
        <v>0.489583333333333</v>
      </c>
      <c r="N72" s="34"/>
      <c r="O72" s="26">
        <v>9531</v>
      </c>
      <c r="P72" s="27">
        <f>IFERROR(Таблица2[[#This Row],[сумма отгрузки текущая]]/40,"")</f>
        <v>238.275</v>
      </c>
      <c r="Q72" s="35">
        <f>IFERROR(ROUNDUP(Таблица2[[#This Row],[кол-во ед. продукции]]/20,0),"")</f>
        <v>12</v>
      </c>
      <c r="R72" s="26">
        <f t="shared" si="1"/>
        <v>10484.1</v>
      </c>
      <c r="S72" s="27">
        <f>IFERROR(Таблица2[[#This Row],[сумма отгрузки план]]/40,"")</f>
        <v>262.1025</v>
      </c>
      <c r="T72" s="36">
        <f>IFERROR(ROUNDUP(Таблица2[[#This Row],[кол-во продукции план]]/20,0),"")</f>
        <v>14</v>
      </c>
    </row>
    <row r="73" ht="28.8" spans="1:20">
      <c r="A73" s="11">
        <f>SUBTOTAL(3,C$1:C72)</f>
        <v>72</v>
      </c>
      <c r="B73" s="15" t="s">
        <v>296</v>
      </c>
      <c r="C73" s="7" t="s">
        <v>297</v>
      </c>
      <c r="D73" s="16" t="s">
        <v>298</v>
      </c>
      <c r="E73" s="17" t="s">
        <v>299</v>
      </c>
      <c r="F73" s="10" t="s">
        <v>214</v>
      </c>
      <c r="H73" s="21" t="s">
        <v>108</v>
      </c>
      <c r="I73" s="31">
        <f>VLOOKUP(Таблица2[[#This Row],[канал сбыта]],справочники!A:D,4,0)</f>
        <v>3</v>
      </c>
      <c r="J73" s="32">
        <f>VLOOKUP(Таблица2[[#This Row],[канал сбыта]],справочники!A:E,5,0)</f>
        <v>0.00486111111111111</v>
      </c>
      <c r="K73" s="33">
        <f>VLOOKUP(Таблица2[[#This Row],[канал сбыта]],справочники!A:E,2,0)</f>
        <v>0.375</v>
      </c>
      <c r="L73" s="33">
        <f>VLOOKUP(Таблица2[[#This Row],[канал сбыта]],справочники!A:E,3,0)</f>
        <v>0.520833333333333</v>
      </c>
      <c r="M73" s="33">
        <v>0.5</v>
      </c>
      <c r="N73" s="34"/>
      <c r="O73" s="26">
        <v>1325</v>
      </c>
      <c r="P73" s="27">
        <f>IFERROR(Таблица2[[#This Row],[сумма отгрузки текущая]]/40,"")</f>
        <v>33.125</v>
      </c>
      <c r="Q73" s="35">
        <f>IFERROR(ROUNDUP(Таблица2[[#This Row],[кол-во ед. продукции]]/20,0),"")</f>
        <v>2</v>
      </c>
      <c r="R73" s="26">
        <f t="shared" si="1"/>
        <v>1457.5</v>
      </c>
      <c r="S73" s="27">
        <f>IFERROR(Таблица2[[#This Row],[сумма отгрузки план]]/40,"")</f>
        <v>36.4375</v>
      </c>
      <c r="T73" s="36">
        <f>IFERROR(ROUNDUP(Таблица2[[#This Row],[кол-во продукции план]]/20,0),"")</f>
        <v>2</v>
      </c>
    </row>
    <row r="74" ht="28.8" spans="1:20">
      <c r="A74" s="11">
        <f>SUBTOTAL(3,C$1:C73)</f>
        <v>73</v>
      </c>
      <c r="B74" s="15" t="s">
        <v>300</v>
      </c>
      <c r="C74" s="7" t="s">
        <v>301</v>
      </c>
      <c r="D74" s="16" t="s">
        <v>302</v>
      </c>
      <c r="E74" s="17" t="s">
        <v>303</v>
      </c>
      <c r="F74" s="10" t="s">
        <v>214</v>
      </c>
      <c r="H74" s="21" t="s">
        <v>24</v>
      </c>
      <c r="I74" s="31">
        <f>VLOOKUP(Таблица2[[#This Row],[канал сбыта]],справочники!A:D,4,0)</f>
        <v>3</v>
      </c>
      <c r="J74" s="32">
        <f>VLOOKUP(Таблица2[[#This Row],[канал сбыта]],справочники!A:E,5,0)</f>
        <v>0.00347222222222222</v>
      </c>
      <c r="K74" s="33">
        <f>VLOOKUP(Таблица2[[#This Row],[канал сбыта]],справочники!A:E,2,0)</f>
        <v>0.333333333333333</v>
      </c>
      <c r="L74" s="33">
        <f>VLOOKUP(Таблица2[[#This Row],[канал сбыта]],справочники!A:E,3,0)</f>
        <v>0.416666666666667</v>
      </c>
      <c r="M74" s="33">
        <v>0.510416666666667</v>
      </c>
      <c r="N74" s="34"/>
      <c r="O74" s="26">
        <v>1659</v>
      </c>
      <c r="P74" s="27">
        <f>IFERROR(Таблица2[[#This Row],[сумма отгрузки текущая]]/40,"")</f>
        <v>41.475</v>
      </c>
      <c r="Q74" s="35">
        <f>IFERROR(ROUNDUP(Таблица2[[#This Row],[кол-во ед. продукции]]/20,0),"")</f>
        <v>3</v>
      </c>
      <c r="R74" s="26">
        <f t="shared" si="1"/>
        <v>1824.9</v>
      </c>
      <c r="S74" s="27">
        <f>IFERROR(Таблица2[[#This Row],[сумма отгрузки план]]/40,"")</f>
        <v>45.6225</v>
      </c>
      <c r="T74" s="36">
        <f>IFERROR(ROUNDUP(Таблица2[[#This Row],[кол-во продукции план]]/20,0),"")</f>
        <v>3</v>
      </c>
    </row>
    <row r="75" ht="29.55" spans="1:20">
      <c r="A75" s="11">
        <f>SUBTOTAL(3,C$1:C74)</f>
        <v>74</v>
      </c>
      <c r="B75" s="15" t="s">
        <v>304</v>
      </c>
      <c r="C75" s="19" t="s">
        <v>305</v>
      </c>
      <c r="D75" s="20" t="s">
        <v>306</v>
      </c>
      <c r="E75" s="17" t="s">
        <v>307</v>
      </c>
      <c r="F75" s="10" t="s">
        <v>214</v>
      </c>
      <c r="H75" s="21" t="s">
        <v>24</v>
      </c>
      <c r="I75" s="31">
        <f>VLOOKUP(Таблица2[[#This Row],[канал сбыта]],справочники!A:D,4,0)</f>
        <v>3</v>
      </c>
      <c r="J75" s="32">
        <f>VLOOKUP(Таблица2[[#This Row],[канал сбыта]],справочники!A:E,5,0)</f>
        <v>0.00347222222222222</v>
      </c>
      <c r="K75" s="33">
        <f>VLOOKUP(Таблица2[[#This Row],[канал сбыта]],справочники!A:E,2,0)</f>
        <v>0.333333333333333</v>
      </c>
      <c r="L75" s="33">
        <f>VLOOKUP(Таблица2[[#This Row],[канал сбыта]],справочники!A:E,3,0)</f>
        <v>0.416666666666667</v>
      </c>
      <c r="M75" s="33">
        <v>0.520833333333333</v>
      </c>
      <c r="N75" s="34"/>
      <c r="O75" s="26">
        <v>1352</v>
      </c>
      <c r="P75" s="27">
        <f>IFERROR(Таблица2[[#This Row],[сумма отгрузки текущая]]/40,"")</f>
        <v>33.8</v>
      </c>
      <c r="Q75" s="35">
        <f>IFERROR(ROUNDUP(Таблица2[[#This Row],[кол-во ед. продукции]]/20,0),"")</f>
        <v>2</v>
      </c>
      <c r="R75" s="26">
        <f t="shared" si="1"/>
        <v>1487.2</v>
      </c>
      <c r="S75" s="27">
        <f>IFERROR(Таблица2[[#This Row],[сумма отгрузки план]]/40,"")</f>
        <v>37.18</v>
      </c>
      <c r="T75" s="36">
        <f>IFERROR(ROUNDUP(Таблица2[[#This Row],[кол-во продукции план]]/20,0),"")</f>
        <v>2</v>
      </c>
    </row>
    <row r="76" ht="28.8" spans="1:20">
      <c r="A76" s="11">
        <f>SUBTOTAL(3,C$1:C75)</f>
        <v>75</v>
      </c>
      <c r="B76" s="15">
        <v>499</v>
      </c>
      <c r="C76" s="7" t="s">
        <v>308</v>
      </c>
      <c r="D76" s="16" t="s">
        <v>309</v>
      </c>
      <c r="E76" s="17" t="s">
        <v>310</v>
      </c>
      <c r="F76" s="10" t="s">
        <v>311</v>
      </c>
      <c r="G76" s="10"/>
      <c r="H76" s="10" t="s">
        <v>24</v>
      </c>
      <c r="I76" s="15">
        <f>VLOOKUP(Таблица2[[#This Row],[канал сбыта]],справочники!A:D,4,0)</f>
        <v>3</v>
      </c>
      <c r="J76" s="23">
        <f>VLOOKUP(Таблица2[[#This Row],[канал сбыта]],справочники!A:E,5,0)</f>
        <v>0.00347222222222222</v>
      </c>
      <c r="K76" s="24">
        <f>VLOOKUP(Таблица2[[#This Row],[канал сбыта]],справочники!A:E,2,0)</f>
        <v>0.333333333333333</v>
      </c>
      <c r="L76" s="24">
        <f>VLOOKUP(Таблица2[[#This Row],[канал сбыта]],справочники!A:E,3,0)</f>
        <v>0.416666666666667</v>
      </c>
      <c r="M76" s="24">
        <v>0.222222222222222</v>
      </c>
      <c r="N76" s="25"/>
      <c r="O76" s="26">
        <v>721</v>
      </c>
      <c r="P76" s="27">
        <f>IFERROR(Таблица2[[#This Row],[сумма отгрузки текущая]]/40,"")</f>
        <v>18.025</v>
      </c>
      <c r="Q76" s="35">
        <f>IFERROR(ROUNDUP(Таблица2[[#This Row],[кол-во ед. продукции]]/20,0),"")</f>
        <v>1</v>
      </c>
      <c r="R76" s="26">
        <f t="shared" si="1"/>
        <v>793.1</v>
      </c>
      <c r="S76" s="27">
        <f>IFERROR(Таблица2[[#This Row],[сумма отгрузки план]]/40,"")</f>
        <v>19.8275</v>
      </c>
      <c r="T76" s="36">
        <f>IFERROR(ROUNDUP(Таблица2[[#This Row],[кол-во продукции план]]/20,0),"")</f>
        <v>1</v>
      </c>
    </row>
    <row r="77" ht="28.8" spans="1:20">
      <c r="A77" s="11">
        <f>SUBTOTAL(3,C$1:C76)</f>
        <v>76</v>
      </c>
      <c r="B77" s="15" t="s">
        <v>312</v>
      </c>
      <c r="C77" s="7" t="s">
        <v>313</v>
      </c>
      <c r="D77" s="16" t="s">
        <v>314</v>
      </c>
      <c r="E77" s="17" t="s">
        <v>315</v>
      </c>
      <c r="F77" s="10" t="s">
        <v>311</v>
      </c>
      <c r="G77" s="10"/>
      <c r="H77" s="10" t="s">
        <v>24</v>
      </c>
      <c r="I77" s="15">
        <f>VLOOKUP(Таблица2[[#This Row],[канал сбыта]],справочники!A:D,4,0)</f>
        <v>3</v>
      </c>
      <c r="J77" s="23">
        <f>VLOOKUP(Таблица2[[#This Row],[канал сбыта]],справочники!A:E,5,0)</f>
        <v>0.00347222222222222</v>
      </c>
      <c r="K77" s="24">
        <f>VLOOKUP(Таблица2[[#This Row],[канал сбыта]],справочники!A:E,2,0)</f>
        <v>0.333333333333333</v>
      </c>
      <c r="L77" s="24">
        <f>VLOOKUP(Таблица2[[#This Row],[канал сбыта]],справочники!A:E,3,0)</f>
        <v>0.416666666666667</v>
      </c>
      <c r="M77" s="24">
        <v>0.236111111111111</v>
      </c>
      <c r="N77" s="25"/>
      <c r="O77" s="26">
        <v>2225</v>
      </c>
      <c r="P77" s="27">
        <f>IFERROR(Таблица2[[#This Row],[сумма отгрузки текущая]]/40,"")</f>
        <v>55.625</v>
      </c>
      <c r="Q77" s="35">
        <f>IFERROR(ROUNDUP(Таблица2[[#This Row],[кол-во ед. продукции]]/20,0),"")</f>
        <v>3</v>
      </c>
      <c r="R77" s="26">
        <f t="shared" si="1"/>
        <v>2447.5</v>
      </c>
      <c r="S77" s="27">
        <f>IFERROR(Таблица2[[#This Row],[сумма отгрузки план]]/40,"")</f>
        <v>61.1875</v>
      </c>
      <c r="T77" s="36">
        <f>IFERROR(ROUNDUP(Таблица2[[#This Row],[кол-во продукции план]]/20,0),"")</f>
        <v>4</v>
      </c>
    </row>
    <row r="78" ht="28.8" spans="1:20">
      <c r="A78" s="11">
        <f>SUBTOTAL(3,C$1:C77)</f>
        <v>77</v>
      </c>
      <c r="B78" s="15">
        <v>1670</v>
      </c>
      <c r="C78" s="7" t="s">
        <v>316</v>
      </c>
      <c r="D78" s="16" t="s">
        <v>317</v>
      </c>
      <c r="E78" s="17" t="s">
        <v>318</v>
      </c>
      <c r="F78" s="10" t="s">
        <v>311</v>
      </c>
      <c r="G78" s="10"/>
      <c r="H78" s="10" t="s">
        <v>24</v>
      </c>
      <c r="I78" s="15">
        <f>VLOOKUP(Таблица2[[#This Row],[канал сбыта]],справочники!A:D,4,0)</f>
        <v>3</v>
      </c>
      <c r="J78" s="23">
        <f>VLOOKUP(Таблица2[[#This Row],[канал сбыта]],справочники!A:E,5,0)</f>
        <v>0.00347222222222222</v>
      </c>
      <c r="K78" s="24">
        <f>VLOOKUP(Таблица2[[#This Row],[канал сбыта]],справочники!A:E,2,0)</f>
        <v>0.333333333333333</v>
      </c>
      <c r="L78" s="24">
        <f>VLOOKUP(Таблица2[[#This Row],[канал сбыта]],справочники!A:E,3,0)</f>
        <v>0.416666666666667</v>
      </c>
      <c r="M78" s="24">
        <v>0.243055555555556</v>
      </c>
      <c r="N78" s="25"/>
      <c r="O78" s="26">
        <v>626</v>
      </c>
      <c r="P78" s="27">
        <f>IFERROR(Таблица2[[#This Row],[сумма отгрузки текущая]]/40,"")</f>
        <v>15.65</v>
      </c>
      <c r="Q78" s="35">
        <f>IFERROR(ROUNDUP(Таблица2[[#This Row],[кол-во ед. продукции]]/20,0),"")</f>
        <v>1</v>
      </c>
      <c r="R78" s="26">
        <f t="shared" si="1"/>
        <v>688.6</v>
      </c>
      <c r="S78" s="27">
        <f>IFERROR(Таблица2[[#This Row],[сумма отгрузки план]]/40,"")</f>
        <v>17.215</v>
      </c>
      <c r="T78" s="36">
        <f>IFERROR(ROUNDUP(Таблица2[[#This Row],[кол-во продукции план]]/20,0),"")</f>
        <v>1</v>
      </c>
    </row>
    <row r="79" ht="28.8" spans="1:20">
      <c r="A79" s="11">
        <f>SUBTOTAL(3,C$1:C78)</f>
        <v>78</v>
      </c>
      <c r="B79" s="15" t="s">
        <v>319</v>
      </c>
      <c r="C79" s="7" t="s">
        <v>320</v>
      </c>
      <c r="D79" s="16" t="s">
        <v>321</v>
      </c>
      <c r="E79" s="17" t="s">
        <v>322</v>
      </c>
      <c r="F79" s="10" t="s">
        <v>323</v>
      </c>
      <c r="G79" s="10"/>
      <c r="H79" s="10" t="s">
        <v>24</v>
      </c>
      <c r="I79" s="15">
        <f>VLOOKUP(Таблица2[[#This Row],[канал сбыта]],справочники!A:D,4,0)</f>
        <v>3</v>
      </c>
      <c r="J79" s="23">
        <f>VLOOKUP(Таблица2[[#This Row],[канал сбыта]],справочники!A:E,5,0)</f>
        <v>0.00347222222222222</v>
      </c>
      <c r="K79" s="24">
        <f>VLOOKUP(Таблица2[[#This Row],[канал сбыта]],справочники!A:E,2,0)</f>
        <v>0.333333333333333</v>
      </c>
      <c r="L79" s="24">
        <f>VLOOKUP(Таблица2[[#This Row],[канал сбыта]],справочники!A:E,3,0)</f>
        <v>0.416666666666667</v>
      </c>
      <c r="M79" s="24">
        <v>0.25</v>
      </c>
      <c r="N79" s="25"/>
      <c r="O79" s="26">
        <v>622</v>
      </c>
      <c r="P79" s="27">
        <f>IFERROR(Таблица2[[#This Row],[сумма отгрузки текущая]]/40,"")</f>
        <v>15.55</v>
      </c>
      <c r="Q79" s="35">
        <f>IFERROR(ROUNDUP(Таблица2[[#This Row],[кол-во ед. продукции]]/20,0),"")</f>
        <v>1</v>
      </c>
      <c r="R79" s="26">
        <f t="shared" si="1"/>
        <v>684.2</v>
      </c>
      <c r="S79" s="27">
        <f>IFERROR(Таблица2[[#This Row],[сумма отгрузки план]]/40,"")</f>
        <v>17.105</v>
      </c>
      <c r="T79" s="36">
        <f>IFERROR(ROUNDUP(Таблица2[[#This Row],[кол-во продукции план]]/20,0),"")</f>
        <v>1</v>
      </c>
    </row>
    <row r="80" ht="28.8" spans="1:20">
      <c r="A80" s="11">
        <f>SUBTOTAL(3,C$1:C79)</f>
        <v>79</v>
      </c>
      <c r="B80" s="15" t="s">
        <v>324</v>
      </c>
      <c r="C80" s="7" t="s">
        <v>325</v>
      </c>
      <c r="D80" s="16" t="s">
        <v>326</v>
      </c>
      <c r="E80" s="17" t="s">
        <v>327</v>
      </c>
      <c r="F80" s="10" t="s">
        <v>323</v>
      </c>
      <c r="G80" s="10"/>
      <c r="H80" s="10" t="s">
        <v>91</v>
      </c>
      <c r="I80" s="15">
        <f>VLOOKUP(Таблица2[[#This Row],[канал сбыта]],справочники!A:D,4,0)</f>
        <v>3</v>
      </c>
      <c r="J80" s="23">
        <f>VLOOKUP(Таблица2[[#This Row],[канал сбыта]],справочники!A:E,5,0)</f>
        <v>0.00486111111111111</v>
      </c>
      <c r="K80" s="24">
        <f>VLOOKUP(Таблица2[[#This Row],[канал сбыта]],справочники!A:E,2,0)</f>
        <v>0.333333333333333</v>
      </c>
      <c r="L80" s="24">
        <f>VLOOKUP(Таблица2[[#This Row],[канал сбыта]],справочники!A:E,3,0)</f>
        <v>0.458333333333333</v>
      </c>
      <c r="M80" s="24">
        <v>0.333333333333333</v>
      </c>
      <c r="N80" s="25"/>
      <c r="O80" s="26">
        <v>2419</v>
      </c>
      <c r="P80" s="27">
        <f>IFERROR(Таблица2[[#This Row],[сумма отгрузки текущая]]/40,"")</f>
        <v>60.475</v>
      </c>
      <c r="Q80" s="35">
        <f>IFERROR(ROUNDUP(Таблица2[[#This Row],[кол-во ед. продукции]]/20,0),"")</f>
        <v>4</v>
      </c>
      <c r="R80" s="26">
        <f t="shared" si="1"/>
        <v>2660.9</v>
      </c>
      <c r="S80" s="27">
        <f>IFERROR(Таблица2[[#This Row],[сумма отгрузки план]]/40,"")</f>
        <v>66.5225</v>
      </c>
      <c r="T80" s="36">
        <f>IFERROR(ROUNDUP(Таблица2[[#This Row],[кол-во продукции план]]/20,0),"")</f>
        <v>4</v>
      </c>
    </row>
    <row r="81" ht="28.8" spans="1:20">
      <c r="A81" s="11">
        <f>SUBTOTAL(3,C$1:C80)</f>
        <v>80</v>
      </c>
      <c r="B81" s="15" t="s">
        <v>328</v>
      </c>
      <c r="C81" s="7" t="s">
        <v>329</v>
      </c>
      <c r="D81" s="16" t="s">
        <v>330</v>
      </c>
      <c r="E81" s="17" t="s">
        <v>331</v>
      </c>
      <c r="F81" s="10" t="s">
        <v>323</v>
      </c>
      <c r="G81" s="10"/>
      <c r="H81" s="10" t="s">
        <v>63</v>
      </c>
      <c r="I81" s="15">
        <f>VLOOKUP(Таблица2[[#This Row],[канал сбыта]],справочники!A:D,4,0)</f>
        <v>3</v>
      </c>
      <c r="J81" s="23">
        <f>VLOOKUP(Таблица2[[#This Row],[канал сбыта]],справочники!A:E,5,0)</f>
        <v>0.00694444444444444</v>
      </c>
      <c r="K81" s="24">
        <f>VLOOKUP(Таблица2[[#This Row],[канал сбыта]],справочники!A:E,2,0)</f>
        <v>0.375</v>
      </c>
      <c r="L81" s="24">
        <f>VLOOKUP(Таблица2[[#This Row],[канал сбыта]],справочники!A:E,3,0)</f>
        <v>0.5</v>
      </c>
      <c r="M81" s="24">
        <v>0.375</v>
      </c>
      <c r="N81" s="25"/>
      <c r="O81" s="26">
        <v>7840</v>
      </c>
      <c r="P81" s="27">
        <f>IFERROR(Таблица2[[#This Row],[сумма отгрузки текущая]]/40,"")</f>
        <v>196</v>
      </c>
      <c r="Q81" s="35">
        <f>IFERROR(ROUNDUP(Таблица2[[#This Row],[кол-во ед. продукции]]/20,0),"")</f>
        <v>10</v>
      </c>
      <c r="R81" s="26">
        <f t="shared" si="1"/>
        <v>8624</v>
      </c>
      <c r="S81" s="27">
        <f>IFERROR(Таблица2[[#This Row],[сумма отгрузки план]]/40,"")</f>
        <v>215.6</v>
      </c>
      <c r="T81" s="36">
        <f>IFERROR(ROUNDUP(Таблица2[[#This Row],[кол-во продукции план]]/20,0),"")</f>
        <v>11</v>
      </c>
    </row>
    <row r="82" ht="28.8" spans="1:20">
      <c r="A82" s="11">
        <f>SUBTOTAL(3,C$1:C81)</f>
        <v>81</v>
      </c>
      <c r="B82" s="15" t="s">
        <v>332</v>
      </c>
      <c r="C82" s="7" t="s">
        <v>333</v>
      </c>
      <c r="D82" s="16" t="s">
        <v>334</v>
      </c>
      <c r="E82" s="17" t="s">
        <v>335</v>
      </c>
      <c r="F82" s="10" t="s">
        <v>323</v>
      </c>
      <c r="G82" s="10"/>
      <c r="H82" s="10" t="s">
        <v>91</v>
      </c>
      <c r="I82" s="15">
        <f>VLOOKUP(Таблица2[[#This Row],[канал сбыта]],справочники!A:D,4,0)</f>
        <v>3</v>
      </c>
      <c r="J82" s="23">
        <f>VLOOKUP(Таблица2[[#This Row],[канал сбыта]],справочники!A:E,5,0)</f>
        <v>0.00486111111111111</v>
      </c>
      <c r="K82" s="24">
        <f>VLOOKUP(Таблица2[[#This Row],[канал сбыта]],справочники!A:E,2,0)</f>
        <v>0.333333333333333</v>
      </c>
      <c r="L82" s="24">
        <f>VLOOKUP(Таблица2[[#This Row],[канал сбыта]],справочники!A:E,3,0)</f>
        <v>0.458333333333333</v>
      </c>
      <c r="M82" s="24">
        <v>0.34375</v>
      </c>
      <c r="N82" s="25"/>
      <c r="O82" s="26">
        <v>3048</v>
      </c>
      <c r="P82" s="27">
        <f>IFERROR(Таблица2[[#This Row],[сумма отгрузки текущая]]/40,"")</f>
        <v>76.2</v>
      </c>
      <c r="Q82" s="35">
        <f>IFERROR(ROUNDUP(Таблица2[[#This Row],[кол-во ед. продукции]]/20,0),"")</f>
        <v>4</v>
      </c>
      <c r="R82" s="26">
        <f t="shared" si="1"/>
        <v>3352.8</v>
      </c>
      <c r="S82" s="27">
        <f>IFERROR(Таблица2[[#This Row],[сумма отгрузки план]]/40,"")</f>
        <v>83.82</v>
      </c>
      <c r="T82" s="36">
        <f>IFERROR(ROUNDUP(Таблица2[[#This Row],[кол-во продукции план]]/20,0),"")</f>
        <v>5</v>
      </c>
    </row>
    <row r="83" ht="28.8" spans="1:20">
      <c r="A83" s="11">
        <f>SUBTOTAL(3,C$1:C82)</f>
        <v>82</v>
      </c>
      <c r="B83" s="15" t="s">
        <v>336</v>
      </c>
      <c r="C83" s="7" t="s">
        <v>337</v>
      </c>
      <c r="D83" s="16" t="s">
        <v>338</v>
      </c>
      <c r="E83" s="17" t="s">
        <v>339</v>
      </c>
      <c r="F83" s="10" t="s">
        <v>323</v>
      </c>
      <c r="G83" s="10"/>
      <c r="H83" s="10" t="s">
        <v>55</v>
      </c>
      <c r="I83" s="15">
        <f>VLOOKUP(Таблица2[[#This Row],[канал сбыта]],справочники!A:D,4,0)</f>
        <v>3</v>
      </c>
      <c r="J83" s="23">
        <f>VLOOKUP(Таблица2[[#This Row],[канал сбыта]],справочники!A:E,5,0)</f>
        <v>0.00486111111111111</v>
      </c>
      <c r="K83" s="24">
        <f>VLOOKUP(Таблица2[[#This Row],[канал сбыта]],справочники!A:E,2,0)</f>
        <v>0.333333333333333</v>
      </c>
      <c r="L83" s="24">
        <f>VLOOKUP(Таблица2[[#This Row],[канал сбыта]],справочники!A:E,3,0)</f>
        <v>0.5</v>
      </c>
      <c r="M83" s="24">
        <v>0.354166666666667</v>
      </c>
      <c r="N83" s="25"/>
      <c r="O83" s="26">
        <v>10193</v>
      </c>
      <c r="P83" s="27">
        <f>IFERROR(Таблица2[[#This Row],[сумма отгрузки текущая]]/40,"")</f>
        <v>254.825</v>
      </c>
      <c r="Q83" s="35">
        <f>IFERROR(ROUNDUP(Таблица2[[#This Row],[кол-во ед. продукции]]/20,0),"")</f>
        <v>13</v>
      </c>
      <c r="R83" s="26">
        <f t="shared" si="1"/>
        <v>11212.3</v>
      </c>
      <c r="S83" s="27">
        <f>IFERROR(Таблица2[[#This Row],[сумма отгрузки план]]/40,"")</f>
        <v>280.3075</v>
      </c>
      <c r="T83" s="36">
        <f>IFERROR(ROUNDUP(Таблица2[[#This Row],[кол-во продукции план]]/20,0),"")</f>
        <v>15</v>
      </c>
    </row>
    <row r="84" ht="28.8" spans="1:20">
      <c r="A84" s="11">
        <f>SUBTOTAL(3,C$1:C83)</f>
        <v>83</v>
      </c>
      <c r="B84" s="15" t="s">
        <v>340</v>
      </c>
      <c r="C84" s="7" t="s">
        <v>341</v>
      </c>
      <c r="D84" s="16" t="s">
        <v>342</v>
      </c>
      <c r="E84" s="17" t="s">
        <v>343</v>
      </c>
      <c r="F84" s="10" t="s">
        <v>323</v>
      </c>
      <c r="G84" s="10"/>
      <c r="H84" s="10" t="s">
        <v>91</v>
      </c>
      <c r="I84" s="15">
        <f>VLOOKUP(Таблица2[[#This Row],[канал сбыта]],справочники!A:D,4,0)</f>
        <v>3</v>
      </c>
      <c r="J84" s="23">
        <f>VLOOKUP(Таблица2[[#This Row],[канал сбыта]],справочники!A:E,5,0)</f>
        <v>0.00486111111111111</v>
      </c>
      <c r="K84" s="24">
        <f>VLOOKUP(Таблица2[[#This Row],[канал сбыта]],справочники!A:E,2,0)</f>
        <v>0.333333333333333</v>
      </c>
      <c r="L84" s="24">
        <f>VLOOKUP(Таблица2[[#This Row],[канал сбыта]],справочники!A:E,3,0)</f>
        <v>0.458333333333333</v>
      </c>
      <c r="M84" s="24">
        <v>0.336805555555556</v>
      </c>
      <c r="N84" s="25"/>
      <c r="O84" s="26">
        <v>3112</v>
      </c>
      <c r="P84" s="27">
        <f>IFERROR(Таблица2[[#This Row],[сумма отгрузки текущая]]/40,"")</f>
        <v>77.8</v>
      </c>
      <c r="Q84" s="35">
        <f>IFERROR(ROUNDUP(Таблица2[[#This Row],[кол-во ед. продукции]]/20,0),"")</f>
        <v>4</v>
      </c>
      <c r="R84" s="26">
        <f t="shared" si="1"/>
        <v>3423.2</v>
      </c>
      <c r="S84" s="27">
        <f>IFERROR(Таблица2[[#This Row],[сумма отгрузки план]]/40,"")</f>
        <v>85.58</v>
      </c>
      <c r="T84" s="36">
        <f>IFERROR(ROUNDUP(Таблица2[[#This Row],[кол-во продукции план]]/20,0),"")</f>
        <v>5</v>
      </c>
    </row>
    <row r="85" ht="28.8" spans="1:20">
      <c r="A85" s="11">
        <f>SUBTOTAL(3,C$1:C84)</f>
        <v>84</v>
      </c>
      <c r="B85" s="15" t="s">
        <v>344</v>
      </c>
      <c r="C85" s="7" t="s">
        <v>345</v>
      </c>
      <c r="D85" s="16" t="s">
        <v>346</v>
      </c>
      <c r="E85" s="17" t="s">
        <v>347</v>
      </c>
      <c r="F85" s="10" t="s">
        <v>323</v>
      </c>
      <c r="G85" s="10"/>
      <c r="H85" s="10" t="s">
        <v>24</v>
      </c>
      <c r="I85" s="15">
        <f>VLOOKUP(Таблица2[[#This Row],[канал сбыта]],справочники!A:D,4,0)</f>
        <v>3</v>
      </c>
      <c r="J85" s="23">
        <f>VLOOKUP(Таблица2[[#This Row],[канал сбыта]],справочники!A:E,5,0)</f>
        <v>0.00347222222222222</v>
      </c>
      <c r="K85" s="24">
        <f>VLOOKUP(Таблица2[[#This Row],[канал сбыта]],справочники!A:E,2,0)</f>
        <v>0.333333333333333</v>
      </c>
      <c r="L85" s="24">
        <f>VLOOKUP(Таблица2[[#This Row],[канал сбыта]],справочники!A:E,3,0)</f>
        <v>0.416666666666667</v>
      </c>
      <c r="M85" s="24">
        <v>0.364583333333333</v>
      </c>
      <c r="N85" s="25"/>
      <c r="O85" s="26">
        <v>196</v>
      </c>
      <c r="P85" s="27">
        <f>IFERROR(Таблица2[[#This Row],[сумма отгрузки текущая]]/40,"")</f>
        <v>4.9</v>
      </c>
      <c r="Q85" s="35">
        <f>IFERROR(ROUNDUP(Таблица2[[#This Row],[кол-во ед. продукции]]/20,0),"")</f>
        <v>1</v>
      </c>
      <c r="R85" s="26">
        <f t="shared" si="1"/>
        <v>215.6</v>
      </c>
      <c r="S85" s="27">
        <f>IFERROR(Таблица2[[#This Row],[сумма отгрузки план]]/40,"")</f>
        <v>5.39</v>
      </c>
      <c r="T85" s="36">
        <f>IFERROR(ROUNDUP(Таблица2[[#This Row],[кол-во продукции план]]/20,0),"")</f>
        <v>1</v>
      </c>
    </row>
    <row r="86" ht="28.8" spans="1:20">
      <c r="A86" s="11">
        <f>SUBTOTAL(3,C$1:C85)</f>
        <v>85</v>
      </c>
      <c r="B86" s="15" t="s">
        <v>348</v>
      </c>
      <c r="C86" s="7" t="s">
        <v>349</v>
      </c>
      <c r="D86" s="16" t="s">
        <v>350</v>
      </c>
      <c r="E86" s="17" t="s">
        <v>351</v>
      </c>
      <c r="F86" s="10" t="s">
        <v>323</v>
      </c>
      <c r="G86" s="10"/>
      <c r="H86" s="10" t="s">
        <v>24</v>
      </c>
      <c r="I86" s="15">
        <f>VLOOKUP(Таблица2[[#This Row],[канал сбыта]],справочники!A:D,4,0)</f>
        <v>3</v>
      </c>
      <c r="J86" s="23">
        <f>VLOOKUP(Таблица2[[#This Row],[канал сбыта]],справочники!A:E,5,0)</f>
        <v>0.00347222222222222</v>
      </c>
      <c r="K86" s="24">
        <f>VLOOKUP(Таблица2[[#This Row],[канал сбыта]],справочники!A:E,2,0)</f>
        <v>0.333333333333333</v>
      </c>
      <c r="L86" s="24">
        <f>VLOOKUP(Таблица2[[#This Row],[канал сбыта]],справочники!A:E,3,0)</f>
        <v>0.416666666666667</v>
      </c>
      <c r="M86" s="24">
        <v>0.385416666666667</v>
      </c>
      <c r="N86" s="25"/>
      <c r="O86" s="26">
        <v>1888</v>
      </c>
      <c r="P86" s="27">
        <f>IFERROR(Таблица2[[#This Row],[сумма отгрузки текущая]]/40,"")</f>
        <v>47.2</v>
      </c>
      <c r="Q86" s="35">
        <f>IFERROR(ROUNDUP(Таблица2[[#This Row],[кол-во ед. продукции]]/20,0),"")</f>
        <v>3</v>
      </c>
      <c r="R86" s="26">
        <f t="shared" si="1"/>
        <v>2076.8</v>
      </c>
      <c r="S86" s="27">
        <f>IFERROR(Таблица2[[#This Row],[сумма отгрузки план]]/40,"")</f>
        <v>51.92</v>
      </c>
      <c r="T86" s="36">
        <f>IFERROR(ROUNDUP(Таблица2[[#This Row],[кол-во продукции план]]/20,0),"")</f>
        <v>3</v>
      </c>
    </row>
    <row r="87" ht="28.8" spans="1:20">
      <c r="A87" s="11">
        <f>SUBTOTAL(3,C$1:C86)</f>
        <v>86</v>
      </c>
      <c r="B87" s="15">
        <v>666</v>
      </c>
      <c r="C87" s="7" t="s">
        <v>352</v>
      </c>
      <c r="D87" s="16" t="s">
        <v>353</v>
      </c>
      <c r="E87" s="17" t="s">
        <v>354</v>
      </c>
      <c r="F87" s="10" t="s">
        <v>323</v>
      </c>
      <c r="G87" s="10"/>
      <c r="H87" s="10" t="s">
        <v>24</v>
      </c>
      <c r="I87" s="15">
        <f>VLOOKUP(Таблица2[[#This Row],[канал сбыта]],справочники!A:D,4,0)</f>
        <v>3</v>
      </c>
      <c r="J87" s="23">
        <f>VLOOKUP(Таблица2[[#This Row],[канал сбыта]],справочники!A:E,5,0)</f>
        <v>0.00347222222222222</v>
      </c>
      <c r="K87" s="24">
        <f>VLOOKUP(Таблица2[[#This Row],[канал сбыта]],справочники!A:E,2,0)</f>
        <v>0.333333333333333</v>
      </c>
      <c r="L87" s="24">
        <f>VLOOKUP(Таблица2[[#This Row],[канал сбыта]],справочники!A:E,3,0)</f>
        <v>0.416666666666667</v>
      </c>
      <c r="M87" s="24">
        <v>0.395833333333333</v>
      </c>
      <c r="N87" s="25"/>
      <c r="O87" s="26">
        <v>9240</v>
      </c>
      <c r="P87" s="27">
        <f>IFERROR(Таблица2[[#This Row],[сумма отгрузки текущая]]/40,"")</f>
        <v>231</v>
      </c>
      <c r="Q87" s="35">
        <f>IFERROR(ROUNDUP(Таблица2[[#This Row],[кол-во ед. продукции]]/20,0),"")</f>
        <v>12</v>
      </c>
      <c r="R87" s="26">
        <f t="shared" si="1"/>
        <v>10164</v>
      </c>
      <c r="S87" s="27">
        <f>IFERROR(Таблица2[[#This Row],[сумма отгрузки план]]/40,"")</f>
        <v>254.1</v>
      </c>
      <c r="T87" s="36">
        <f>IFERROR(ROUNDUP(Таблица2[[#This Row],[кол-во продукции план]]/20,0),"")</f>
        <v>13</v>
      </c>
    </row>
    <row r="88" ht="28.8" spans="1:20">
      <c r="A88" s="11">
        <f>SUBTOTAL(3,C$1:C87)</f>
        <v>87</v>
      </c>
      <c r="B88" s="15" t="s">
        <v>355</v>
      </c>
      <c r="C88" s="7" t="s">
        <v>356</v>
      </c>
      <c r="D88" s="16" t="s">
        <v>357</v>
      </c>
      <c r="E88" s="17" t="s">
        <v>358</v>
      </c>
      <c r="F88" s="10" t="s">
        <v>323</v>
      </c>
      <c r="G88" s="10"/>
      <c r="H88" s="10" t="s">
        <v>24</v>
      </c>
      <c r="I88" s="15">
        <f>VLOOKUP(Таблица2[[#This Row],[канал сбыта]],справочники!A:D,4,0)</f>
        <v>3</v>
      </c>
      <c r="J88" s="23">
        <f>VLOOKUP(Таблица2[[#This Row],[канал сбыта]],справочники!A:E,5,0)</f>
        <v>0.00347222222222222</v>
      </c>
      <c r="K88" s="24">
        <f>VLOOKUP(Таблица2[[#This Row],[канал сбыта]],справочники!A:E,2,0)</f>
        <v>0.333333333333333</v>
      </c>
      <c r="L88" s="24">
        <f>VLOOKUP(Таблица2[[#This Row],[канал сбыта]],справочники!A:E,3,0)</f>
        <v>0.416666666666667</v>
      </c>
      <c r="M88" s="24">
        <v>0.40625</v>
      </c>
      <c r="N88" s="25"/>
      <c r="O88" s="26">
        <v>644</v>
      </c>
      <c r="P88" s="27">
        <f>IFERROR(Таблица2[[#This Row],[сумма отгрузки текущая]]/40,"")</f>
        <v>16.1</v>
      </c>
      <c r="Q88" s="35">
        <f>IFERROR(ROUNDUP(Таблица2[[#This Row],[кол-во ед. продукции]]/20,0),"")</f>
        <v>1</v>
      </c>
      <c r="R88" s="26">
        <f t="shared" si="1"/>
        <v>708.4</v>
      </c>
      <c r="S88" s="27">
        <f>IFERROR(Таблица2[[#This Row],[сумма отгрузки план]]/40,"")</f>
        <v>17.71</v>
      </c>
      <c r="T88" s="36">
        <f>IFERROR(ROUNDUP(Таблица2[[#This Row],[кол-во продукции план]]/20,0),"")</f>
        <v>1</v>
      </c>
    </row>
    <row r="89" ht="28.8" spans="1:20">
      <c r="A89" s="11">
        <f>SUBTOTAL(3,C$1:C88)</f>
        <v>88</v>
      </c>
      <c r="B89" s="15" t="s">
        <v>359</v>
      </c>
      <c r="C89" s="7" t="s">
        <v>360</v>
      </c>
      <c r="D89" s="16" t="s">
        <v>361</v>
      </c>
      <c r="E89" s="17" t="s">
        <v>362</v>
      </c>
      <c r="F89" s="10" t="s">
        <v>323</v>
      </c>
      <c r="G89" s="10"/>
      <c r="H89" s="10" t="s">
        <v>24</v>
      </c>
      <c r="I89" s="15">
        <f>VLOOKUP(Таблица2[[#This Row],[канал сбыта]],справочники!A:D,4,0)</f>
        <v>3</v>
      </c>
      <c r="J89" s="23">
        <f>VLOOKUP(Таблица2[[#This Row],[канал сбыта]],справочники!A:E,5,0)</f>
        <v>0.00347222222222222</v>
      </c>
      <c r="K89" s="24">
        <f>VLOOKUP(Таблица2[[#This Row],[канал сбыта]],справочники!A:E,2,0)</f>
        <v>0.333333333333333</v>
      </c>
      <c r="L89" s="24">
        <f>VLOOKUP(Таблица2[[#This Row],[канал сбыта]],справочники!A:E,3,0)</f>
        <v>0.416666666666667</v>
      </c>
      <c r="M89" s="24">
        <v>0.413194444444444</v>
      </c>
      <c r="N89" s="25"/>
      <c r="O89" s="26">
        <v>1091</v>
      </c>
      <c r="P89" s="27">
        <f>IFERROR(Таблица2[[#This Row],[сумма отгрузки текущая]]/40,"")</f>
        <v>27.275</v>
      </c>
      <c r="Q89" s="35">
        <f>IFERROR(ROUNDUP(Таблица2[[#This Row],[кол-во ед. продукции]]/20,0),"")</f>
        <v>2</v>
      </c>
      <c r="R89" s="26">
        <f t="shared" si="1"/>
        <v>1200.1</v>
      </c>
      <c r="S89" s="27">
        <f>IFERROR(Таблица2[[#This Row],[сумма отгрузки план]]/40,"")</f>
        <v>30.0025</v>
      </c>
      <c r="T89" s="36">
        <f>IFERROR(ROUNDUP(Таблица2[[#This Row],[кол-во продукции план]]/20,0),"")</f>
        <v>2</v>
      </c>
    </row>
    <row r="90" ht="28.8" spans="1:20">
      <c r="A90" s="11">
        <f>SUBTOTAL(3,C$1:C89)</f>
        <v>89</v>
      </c>
      <c r="B90" s="15" t="s">
        <v>363</v>
      </c>
      <c r="C90" s="7" t="s">
        <v>364</v>
      </c>
      <c r="D90" s="16" t="s">
        <v>365</v>
      </c>
      <c r="E90" s="17" t="s">
        <v>366</v>
      </c>
      <c r="F90" s="10" t="s">
        <v>323</v>
      </c>
      <c r="G90" s="10"/>
      <c r="H90" s="10" t="s">
        <v>108</v>
      </c>
      <c r="I90" s="15">
        <f>VLOOKUP(Таблица2[[#This Row],[канал сбыта]],справочники!A:D,4,0)</f>
        <v>3</v>
      </c>
      <c r="J90" s="23">
        <f>VLOOKUP(Таблица2[[#This Row],[канал сбыта]],справочники!A:E,5,0)</f>
        <v>0.00486111111111111</v>
      </c>
      <c r="K90" s="24">
        <f>VLOOKUP(Таблица2[[#This Row],[канал сбыта]],справочники!A:E,2,0)</f>
        <v>0.375</v>
      </c>
      <c r="L90" s="24">
        <f>VLOOKUP(Таблица2[[#This Row],[канал сбыта]],справочники!A:E,3,0)</f>
        <v>0.520833333333333</v>
      </c>
      <c r="M90" s="24">
        <v>0.427083333333333</v>
      </c>
      <c r="N90" s="25"/>
      <c r="O90" s="26">
        <v>1391</v>
      </c>
      <c r="P90" s="27">
        <f>IFERROR(Таблица2[[#This Row],[сумма отгрузки текущая]]/40,"")</f>
        <v>34.775</v>
      </c>
      <c r="Q90" s="35">
        <f>IFERROR(ROUNDUP(Таблица2[[#This Row],[кол-во ед. продукции]]/20,0),"")</f>
        <v>2</v>
      </c>
      <c r="R90" s="26">
        <f t="shared" si="1"/>
        <v>1530.1</v>
      </c>
      <c r="S90" s="27">
        <f>IFERROR(Таблица2[[#This Row],[сумма отгрузки план]]/40,"")</f>
        <v>38.2525</v>
      </c>
      <c r="T90" s="36">
        <f>IFERROR(ROUNDUP(Таблица2[[#This Row],[кол-во продукции план]]/20,0),"")</f>
        <v>2</v>
      </c>
    </row>
    <row r="91" ht="28.8" spans="1:20">
      <c r="A91" s="11">
        <f>SUBTOTAL(3,C$1:C90)</f>
        <v>90</v>
      </c>
      <c r="B91" s="15" t="s">
        <v>367</v>
      </c>
      <c r="C91" s="7" t="s">
        <v>368</v>
      </c>
      <c r="D91" s="16" t="s">
        <v>369</v>
      </c>
      <c r="E91" s="17" t="s">
        <v>370</v>
      </c>
      <c r="F91" s="10" t="s">
        <v>323</v>
      </c>
      <c r="G91" s="10"/>
      <c r="H91" s="10" t="s">
        <v>55</v>
      </c>
      <c r="I91" s="15">
        <f>VLOOKUP(Таблица2[[#This Row],[канал сбыта]],справочники!A:D,4,0)</f>
        <v>3</v>
      </c>
      <c r="J91" s="23">
        <f>VLOOKUP(Таблица2[[#This Row],[канал сбыта]],справочники!A:E,5,0)</f>
        <v>0.00486111111111111</v>
      </c>
      <c r="K91" s="24">
        <f>VLOOKUP(Таблица2[[#This Row],[канал сбыта]],справочники!A:E,2,0)</f>
        <v>0.333333333333333</v>
      </c>
      <c r="L91" s="24">
        <f>VLOOKUP(Таблица2[[#This Row],[канал сбыта]],справочники!A:E,3,0)</f>
        <v>0.5</v>
      </c>
      <c r="M91" s="24">
        <v>0.4375</v>
      </c>
      <c r="N91" s="25"/>
      <c r="O91" s="26">
        <v>3123</v>
      </c>
      <c r="P91" s="27">
        <f>IFERROR(Таблица2[[#This Row],[сумма отгрузки текущая]]/40,"")</f>
        <v>78.075</v>
      </c>
      <c r="Q91" s="35">
        <f>IFERROR(ROUNDUP(Таблица2[[#This Row],[кол-во ед. продукции]]/20,0),"")</f>
        <v>4</v>
      </c>
      <c r="R91" s="26">
        <f t="shared" si="1"/>
        <v>3435.3</v>
      </c>
      <c r="S91" s="27">
        <f>IFERROR(Таблица2[[#This Row],[сумма отгрузки план]]/40,"")</f>
        <v>85.8825</v>
      </c>
      <c r="T91" s="36">
        <f>IFERROR(ROUNDUP(Таблица2[[#This Row],[кол-во продукции план]]/20,0),"")</f>
        <v>5</v>
      </c>
    </row>
    <row r="92" ht="28.8" spans="1:20">
      <c r="A92" s="11">
        <f>SUBTOTAL(3,C$1:C91)</f>
        <v>91</v>
      </c>
      <c r="B92" s="15" t="s">
        <v>371</v>
      </c>
      <c r="C92" s="7" t="s">
        <v>372</v>
      </c>
      <c r="D92" s="16" t="s">
        <v>373</v>
      </c>
      <c r="E92" s="17" t="s">
        <v>374</v>
      </c>
      <c r="F92" s="10" t="s">
        <v>323</v>
      </c>
      <c r="G92" s="10"/>
      <c r="H92" s="10" t="s">
        <v>24</v>
      </c>
      <c r="I92" s="15">
        <f>VLOOKUP(Таблица2[[#This Row],[канал сбыта]],справочники!A:D,4,0)</f>
        <v>3</v>
      </c>
      <c r="J92" s="23">
        <f>VLOOKUP(Таблица2[[#This Row],[канал сбыта]],справочники!A:E,5,0)</f>
        <v>0.00347222222222222</v>
      </c>
      <c r="K92" s="24">
        <f>VLOOKUP(Таблица2[[#This Row],[канал сбыта]],справочники!A:E,2,0)</f>
        <v>0.333333333333333</v>
      </c>
      <c r="L92" s="24">
        <f>VLOOKUP(Таблица2[[#This Row],[канал сбыта]],справочники!A:E,3,0)</f>
        <v>0.416666666666667</v>
      </c>
      <c r="M92" s="24">
        <v>0.447916666666667</v>
      </c>
      <c r="N92" s="25"/>
      <c r="O92" s="26">
        <v>2783</v>
      </c>
      <c r="P92" s="27">
        <f>IFERROR(Таблица2[[#This Row],[сумма отгрузки текущая]]/40,"")</f>
        <v>69.575</v>
      </c>
      <c r="Q92" s="35">
        <f>IFERROR(ROUNDUP(Таблица2[[#This Row],[кол-во ед. продукции]]/20,0),"")</f>
        <v>4</v>
      </c>
      <c r="R92" s="26">
        <f t="shared" si="1"/>
        <v>3061.3</v>
      </c>
      <c r="S92" s="27">
        <f>IFERROR(Таблица2[[#This Row],[сумма отгрузки план]]/40,"")</f>
        <v>76.5325</v>
      </c>
      <c r="T92" s="36">
        <f>IFERROR(ROUNDUP(Таблица2[[#This Row],[кол-во продукции план]]/20,0),"")</f>
        <v>4</v>
      </c>
    </row>
    <row r="93" ht="28.8" spans="1:20">
      <c r="A93" s="11">
        <f>SUBTOTAL(3,C$1:C92)</f>
        <v>92</v>
      </c>
      <c r="B93" s="15" t="s">
        <v>375</v>
      </c>
      <c r="C93" s="7" t="s">
        <v>376</v>
      </c>
      <c r="D93" s="16" t="s">
        <v>377</v>
      </c>
      <c r="E93" s="17" t="s">
        <v>378</v>
      </c>
      <c r="F93" s="10" t="s">
        <v>323</v>
      </c>
      <c r="G93" s="10"/>
      <c r="H93" s="10" t="s">
        <v>24</v>
      </c>
      <c r="I93" s="15">
        <f>VLOOKUP(Таблица2[[#This Row],[канал сбыта]],справочники!A:D,4,0)</f>
        <v>3</v>
      </c>
      <c r="J93" s="23">
        <f>VLOOKUP(Таблица2[[#This Row],[канал сбыта]],справочники!A:E,5,0)</f>
        <v>0.00347222222222222</v>
      </c>
      <c r="K93" s="24">
        <f>VLOOKUP(Таблица2[[#This Row],[канал сбыта]],справочники!A:E,2,0)</f>
        <v>0.333333333333333</v>
      </c>
      <c r="L93" s="24">
        <f>VLOOKUP(Таблица2[[#This Row],[канал сбыта]],справочники!A:E,3,0)</f>
        <v>0.416666666666667</v>
      </c>
      <c r="M93" s="24">
        <v>0.458333333333333</v>
      </c>
      <c r="N93" s="25"/>
      <c r="O93" s="26">
        <v>1872</v>
      </c>
      <c r="P93" s="27">
        <f>IFERROR(Таблица2[[#This Row],[сумма отгрузки текущая]]/40,"")</f>
        <v>46.8</v>
      </c>
      <c r="Q93" s="35">
        <f>IFERROR(ROUNDUP(Таблица2[[#This Row],[кол-во ед. продукции]]/20,0),"")</f>
        <v>3</v>
      </c>
      <c r="R93" s="26">
        <f t="shared" si="1"/>
        <v>2059.2</v>
      </c>
      <c r="S93" s="27">
        <f>IFERROR(Таблица2[[#This Row],[сумма отгрузки план]]/40,"")</f>
        <v>51.48</v>
      </c>
      <c r="T93" s="36">
        <f>IFERROR(ROUNDUP(Таблица2[[#This Row],[кол-во продукции план]]/20,0),"")</f>
        <v>3</v>
      </c>
    </row>
    <row r="94" ht="28.8" spans="1:20">
      <c r="A94" s="11">
        <f>SUBTOTAL(3,C$1:C93)</f>
        <v>93</v>
      </c>
      <c r="B94" s="15" t="s">
        <v>379</v>
      </c>
      <c r="C94" s="7" t="s">
        <v>380</v>
      </c>
      <c r="D94" s="16" t="s">
        <v>381</v>
      </c>
      <c r="E94" s="17" t="s">
        <v>382</v>
      </c>
      <c r="F94" s="10" t="s">
        <v>323</v>
      </c>
      <c r="G94" s="10"/>
      <c r="H94" s="10" t="s">
        <v>24</v>
      </c>
      <c r="I94" s="15">
        <f>VLOOKUP(Таблица2[[#This Row],[канал сбыта]],справочники!A:D,4,0)</f>
        <v>3</v>
      </c>
      <c r="J94" s="23">
        <f>VLOOKUP(Таблица2[[#This Row],[канал сбыта]],справочники!A:E,5,0)</f>
        <v>0.00347222222222222</v>
      </c>
      <c r="K94" s="24">
        <f>VLOOKUP(Таблица2[[#This Row],[канал сбыта]],справочники!A:E,2,0)</f>
        <v>0.333333333333333</v>
      </c>
      <c r="L94" s="24">
        <f>VLOOKUP(Таблица2[[#This Row],[канал сбыта]],справочники!A:E,3,0)</f>
        <v>0.416666666666667</v>
      </c>
      <c r="M94" s="24">
        <v>0.46875</v>
      </c>
      <c r="N94" s="25"/>
      <c r="O94" s="26">
        <v>1207</v>
      </c>
      <c r="P94" s="27">
        <f>IFERROR(Таблица2[[#This Row],[сумма отгрузки текущая]]/40,"")</f>
        <v>30.175</v>
      </c>
      <c r="Q94" s="35">
        <f>IFERROR(ROUNDUP(Таблица2[[#This Row],[кол-во ед. продукции]]/20,0),"")</f>
        <v>2</v>
      </c>
      <c r="R94" s="26">
        <f t="shared" si="1"/>
        <v>1327.7</v>
      </c>
      <c r="S94" s="27">
        <f>IFERROR(Таблица2[[#This Row],[сумма отгрузки план]]/40,"")</f>
        <v>33.1925</v>
      </c>
      <c r="T94" s="36">
        <f>IFERROR(ROUNDUP(Таблица2[[#This Row],[кол-во продукции план]]/20,0),"")</f>
        <v>2</v>
      </c>
    </row>
    <row r="95" ht="28.8" spans="1:20">
      <c r="A95" s="11">
        <f>SUBTOTAL(3,C$1:C94)</f>
        <v>94</v>
      </c>
      <c r="B95" s="15" t="s">
        <v>383</v>
      </c>
      <c r="C95" s="7" t="s">
        <v>384</v>
      </c>
      <c r="D95" s="16" t="s">
        <v>385</v>
      </c>
      <c r="E95" s="17" t="s">
        <v>386</v>
      </c>
      <c r="F95" s="10" t="s">
        <v>323</v>
      </c>
      <c r="G95" s="10"/>
      <c r="H95" s="10" t="s">
        <v>55</v>
      </c>
      <c r="I95" s="15">
        <f>VLOOKUP(Таблица2[[#This Row],[канал сбыта]],справочники!A:D,4,0)</f>
        <v>3</v>
      </c>
      <c r="J95" s="23">
        <f>VLOOKUP(Таблица2[[#This Row],[канал сбыта]],справочники!A:E,5,0)</f>
        <v>0.00486111111111111</v>
      </c>
      <c r="K95" s="24">
        <f>VLOOKUP(Таблица2[[#This Row],[канал сбыта]],справочники!A:E,2,0)</f>
        <v>0.333333333333333</v>
      </c>
      <c r="L95" s="24">
        <f>VLOOKUP(Таблица2[[#This Row],[канал сбыта]],справочники!A:E,3,0)</f>
        <v>0.5</v>
      </c>
      <c r="M95" s="24">
        <v>0.479166666666667</v>
      </c>
      <c r="N95" s="25"/>
      <c r="O95" s="26">
        <v>7923</v>
      </c>
      <c r="P95" s="27">
        <f>IFERROR(Таблица2[[#This Row],[сумма отгрузки текущая]]/40,"")</f>
        <v>198.075</v>
      </c>
      <c r="Q95" s="35">
        <f>IFERROR(ROUNDUP(Таблица2[[#This Row],[кол-во ед. продукции]]/20,0),"")</f>
        <v>10</v>
      </c>
      <c r="R95" s="26">
        <f t="shared" si="1"/>
        <v>8715.3</v>
      </c>
      <c r="S95" s="27">
        <f>IFERROR(Таблица2[[#This Row],[сумма отгрузки план]]/40,"")</f>
        <v>217.8825</v>
      </c>
      <c r="T95" s="36">
        <f>IFERROR(ROUNDUP(Таблица2[[#This Row],[кол-во продукции план]]/20,0),"")</f>
        <v>11</v>
      </c>
    </row>
    <row r="96" ht="28.8" spans="1:20">
      <c r="A96" s="11">
        <f>SUBTOTAL(3,C$1:C95)</f>
        <v>95</v>
      </c>
      <c r="B96" s="15" t="s">
        <v>387</v>
      </c>
      <c r="C96" s="7" t="s">
        <v>388</v>
      </c>
      <c r="D96" s="16" t="s">
        <v>389</v>
      </c>
      <c r="E96" s="17" t="s">
        <v>390</v>
      </c>
      <c r="F96" s="10" t="s">
        <v>323</v>
      </c>
      <c r="G96" s="10"/>
      <c r="H96" s="10" t="s">
        <v>108</v>
      </c>
      <c r="I96" s="15">
        <f>VLOOKUP(Таблица2[[#This Row],[канал сбыта]],справочники!A:D,4,0)</f>
        <v>3</v>
      </c>
      <c r="J96" s="23">
        <f>VLOOKUP(Таблица2[[#This Row],[канал сбыта]],справочники!A:E,5,0)</f>
        <v>0.00486111111111111</v>
      </c>
      <c r="K96" s="24">
        <f>VLOOKUP(Таблица2[[#This Row],[канал сбыта]],справочники!A:E,2,0)</f>
        <v>0.375</v>
      </c>
      <c r="L96" s="24">
        <f>VLOOKUP(Таблица2[[#This Row],[канал сбыта]],справочники!A:E,3,0)</f>
        <v>0.520833333333333</v>
      </c>
      <c r="M96" s="24">
        <v>0.489583333333333</v>
      </c>
      <c r="N96" s="25"/>
      <c r="O96" s="26">
        <v>703</v>
      </c>
      <c r="P96" s="27">
        <f>IFERROR(Таблица2[[#This Row],[сумма отгрузки текущая]]/40,"")</f>
        <v>17.575</v>
      </c>
      <c r="Q96" s="35">
        <f>IFERROR(ROUNDUP(Таблица2[[#This Row],[кол-во ед. продукции]]/20,0),"")</f>
        <v>1</v>
      </c>
      <c r="R96" s="26">
        <f t="shared" si="1"/>
        <v>773.3</v>
      </c>
      <c r="S96" s="27">
        <f>IFERROR(Таблица2[[#This Row],[сумма отгрузки план]]/40,"")</f>
        <v>19.3325</v>
      </c>
      <c r="T96" s="36">
        <f>IFERROR(ROUNDUP(Таблица2[[#This Row],[кол-во продукции план]]/20,0),"")</f>
        <v>1</v>
      </c>
    </row>
    <row r="97" ht="28.8" spans="1:20">
      <c r="A97" s="11">
        <f>SUBTOTAL(3,C$1:C96)</f>
        <v>96</v>
      </c>
      <c r="B97" s="15" t="s">
        <v>391</v>
      </c>
      <c r="C97" s="7" t="s">
        <v>392</v>
      </c>
      <c r="D97" s="16" t="s">
        <v>393</v>
      </c>
      <c r="E97" s="17" t="s">
        <v>394</v>
      </c>
      <c r="F97" s="10" t="s">
        <v>323</v>
      </c>
      <c r="G97" s="10"/>
      <c r="H97" s="10" t="s">
        <v>55</v>
      </c>
      <c r="I97" s="15">
        <f>VLOOKUP(Таблица2[[#This Row],[канал сбыта]],справочники!A:D,4,0)</f>
        <v>3</v>
      </c>
      <c r="J97" s="23">
        <f>VLOOKUP(Таблица2[[#This Row],[канал сбыта]],справочники!A:E,5,0)</f>
        <v>0.00486111111111111</v>
      </c>
      <c r="K97" s="24">
        <f>VLOOKUP(Таблица2[[#This Row],[канал сбыта]],справочники!A:E,2,0)</f>
        <v>0.333333333333333</v>
      </c>
      <c r="L97" s="24">
        <f>VLOOKUP(Таблица2[[#This Row],[канал сбыта]],справочники!A:E,3,0)</f>
        <v>0.5</v>
      </c>
      <c r="M97" s="24">
        <v>0.5</v>
      </c>
      <c r="N97" s="25"/>
      <c r="O97" s="26">
        <v>4236</v>
      </c>
      <c r="P97" s="27">
        <f>IFERROR(Таблица2[[#This Row],[сумма отгрузки текущая]]/40,"")</f>
        <v>105.9</v>
      </c>
      <c r="Q97" s="35">
        <f>IFERROR(ROUNDUP(Таблица2[[#This Row],[кол-во ед. продукции]]/20,0),"")</f>
        <v>6</v>
      </c>
      <c r="R97" s="26">
        <f t="shared" si="1"/>
        <v>4659.6</v>
      </c>
      <c r="S97" s="27">
        <f>IFERROR(Таблица2[[#This Row],[сумма отгрузки план]]/40,"")</f>
        <v>116.49</v>
      </c>
      <c r="T97" s="36">
        <f>IFERROR(ROUNDUP(Таблица2[[#This Row],[кол-во продукции план]]/20,0),"")</f>
        <v>6</v>
      </c>
    </row>
    <row r="98" ht="28.8" spans="1:20">
      <c r="A98" s="11">
        <f>SUBTOTAL(3,C$1:C97)</f>
        <v>97</v>
      </c>
      <c r="B98" s="15" t="s">
        <v>395</v>
      </c>
      <c r="C98" s="7" t="s">
        <v>396</v>
      </c>
      <c r="D98" s="16" t="s">
        <v>397</v>
      </c>
      <c r="E98" s="17" t="s">
        <v>398</v>
      </c>
      <c r="F98" s="10" t="s">
        <v>323</v>
      </c>
      <c r="G98" s="10"/>
      <c r="H98" s="10" t="s">
        <v>55</v>
      </c>
      <c r="I98" s="15">
        <f>VLOOKUP(Таблица2[[#This Row],[канал сбыта]],справочники!A:D,4,0)</f>
        <v>3</v>
      </c>
      <c r="J98" s="23">
        <f>VLOOKUP(Таблица2[[#This Row],[канал сбыта]],справочники!A:E,5,0)</f>
        <v>0.00486111111111111</v>
      </c>
      <c r="K98" s="24">
        <f>VLOOKUP(Таблица2[[#This Row],[канал сбыта]],справочники!A:E,2,0)</f>
        <v>0.333333333333333</v>
      </c>
      <c r="L98" s="24">
        <f>VLOOKUP(Таблица2[[#This Row],[канал сбыта]],справочники!A:E,3,0)</f>
        <v>0.5</v>
      </c>
      <c r="M98" s="24">
        <v>0.510416666666667</v>
      </c>
      <c r="N98" s="25"/>
      <c r="O98" s="26">
        <v>4561</v>
      </c>
      <c r="P98" s="27">
        <f>IFERROR(Таблица2[[#This Row],[сумма отгрузки текущая]]/40,"")</f>
        <v>114.025</v>
      </c>
      <c r="Q98" s="35">
        <f>IFERROR(ROUNDUP(Таблица2[[#This Row],[кол-во ед. продукции]]/20,0),"")</f>
        <v>6</v>
      </c>
      <c r="R98" s="26">
        <f t="shared" si="1"/>
        <v>5017.1</v>
      </c>
      <c r="S98" s="27">
        <f>IFERROR(Таблица2[[#This Row],[сумма отгрузки план]]/40,"")</f>
        <v>125.4275</v>
      </c>
      <c r="T98" s="36">
        <f>IFERROR(ROUNDUP(Таблица2[[#This Row],[кол-во продукции план]]/20,0),"")</f>
        <v>7</v>
      </c>
    </row>
    <row r="99" ht="28.8" spans="1:20">
      <c r="A99" s="11">
        <f>SUBTOTAL(3,C$1:C98)</f>
        <v>98</v>
      </c>
      <c r="B99" s="15" t="s">
        <v>399</v>
      </c>
      <c r="C99" s="7" t="s">
        <v>400</v>
      </c>
      <c r="D99" s="16" t="s">
        <v>401</v>
      </c>
      <c r="E99" s="17" t="s">
        <v>402</v>
      </c>
      <c r="F99" s="10" t="s">
        <v>323</v>
      </c>
      <c r="G99" s="10"/>
      <c r="H99" s="10" t="s">
        <v>91</v>
      </c>
      <c r="I99" s="15">
        <f>VLOOKUP(Таблица2[[#This Row],[канал сбыта]],справочники!A:D,4,0)</f>
        <v>3</v>
      </c>
      <c r="J99" s="23">
        <f>VLOOKUP(Таблица2[[#This Row],[канал сбыта]],справочники!A:E,5,0)</f>
        <v>0.00486111111111111</v>
      </c>
      <c r="K99" s="24">
        <f>VLOOKUP(Таблица2[[#This Row],[канал сбыта]],справочники!A:E,2,0)</f>
        <v>0.333333333333333</v>
      </c>
      <c r="L99" s="24">
        <f>VLOOKUP(Таблица2[[#This Row],[канал сбыта]],справочники!A:E,3,0)</f>
        <v>0.458333333333333</v>
      </c>
      <c r="M99" s="24">
        <v>0.520833333333333</v>
      </c>
      <c r="N99" s="25"/>
      <c r="O99" s="26">
        <v>1987</v>
      </c>
      <c r="P99" s="27">
        <f>IFERROR(Таблица2[[#This Row],[сумма отгрузки текущая]]/40,"")</f>
        <v>49.675</v>
      </c>
      <c r="Q99" s="35">
        <f>IFERROR(ROUNDUP(Таблица2[[#This Row],[кол-во ед. продукции]]/20,0),"")</f>
        <v>3</v>
      </c>
      <c r="R99" s="26">
        <f t="shared" si="1"/>
        <v>2185.7</v>
      </c>
      <c r="S99" s="27">
        <f>IFERROR(Таблица2[[#This Row],[сумма отгрузки план]]/40,"")</f>
        <v>54.6425</v>
      </c>
      <c r="T99" s="36">
        <f>IFERROR(ROUNDUP(Таблица2[[#This Row],[кол-во продукции план]]/20,0),"")</f>
        <v>3</v>
      </c>
    </row>
    <row r="100" ht="29.55" spans="1:20">
      <c r="A100" s="11">
        <f>SUBTOTAL(3,C$1:C99)</f>
        <v>99</v>
      </c>
      <c r="B100" s="15" t="s">
        <v>403</v>
      </c>
      <c r="C100" s="19" t="s">
        <v>404</v>
      </c>
      <c r="D100" s="20" t="s">
        <v>405</v>
      </c>
      <c r="E100" s="17" t="s">
        <v>406</v>
      </c>
      <c r="F100" s="10" t="s">
        <v>323</v>
      </c>
      <c r="G100" s="10"/>
      <c r="H100" s="10" t="s">
        <v>63</v>
      </c>
      <c r="I100" s="15">
        <f>VLOOKUP(Таблица2[[#This Row],[канал сбыта]],справочники!A:D,4,0)</f>
        <v>3</v>
      </c>
      <c r="J100" s="23">
        <f>VLOOKUP(Таблица2[[#This Row],[канал сбыта]],справочники!A:E,5,0)</f>
        <v>0.00694444444444444</v>
      </c>
      <c r="K100" s="24">
        <f>VLOOKUP(Таблица2[[#This Row],[канал сбыта]],справочники!A:E,2,0)</f>
        <v>0.375</v>
      </c>
      <c r="L100" s="24">
        <f>VLOOKUP(Таблица2[[#This Row],[канал сбыта]],справочники!A:E,3,0)</f>
        <v>0.5</v>
      </c>
      <c r="M100" s="24">
        <v>0.53125</v>
      </c>
      <c r="N100" s="25"/>
      <c r="O100" s="26">
        <v>6601</v>
      </c>
      <c r="P100" s="27">
        <f>IFERROR(Таблица2[[#This Row],[сумма отгрузки текущая]]/40,"")</f>
        <v>165.025</v>
      </c>
      <c r="Q100" s="35">
        <f>IFERROR(ROUNDUP(Таблица2[[#This Row],[кол-во ед. продукции]]/20,0),"")</f>
        <v>9</v>
      </c>
      <c r="R100" s="26">
        <f t="shared" si="1"/>
        <v>7261.1</v>
      </c>
      <c r="S100" s="27">
        <f>IFERROR(Таблица2[[#This Row],[сумма отгрузки план]]/40,"")</f>
        <v>181.5275</v>
      </c>
      <c r="T100" s="36">
        <f>IFERROR(ROUNDUP(Таблица2[[#This Row],[кол-во продукции план]]/20,0),"")</f>
        <v>10</v>
      </c>
    </row>
    <row r="101" ht="36" customHeight="1" spans="1:20">
      <c r="A101" s="11">
        <f>SUBTOTAL(3,C$1:C100)</f>
        <v>100</v>
      </c>
      <c r="B101" s="28" t="s">
        <v>407</v>
      </c>
      <c r="C101" s="7" t="s">
        <v>408</v>
      </c>
      <c r="D101" s="16" t="s">
        <v>409</v>
      </c>
      <c r="E101" s="17" t="s">
        <v>410</v>
      </c>
      <c r="F101" s="10" t="s">
        <v>411</v>
      </c>
      <c r="G101" s="10"/>
      <c r="H101" s="10" t="s">
        <v>130</v>
      </c>
      <c r="I101" s="15">
        <f>VLOOKUP(Таблица2[[#This Row],[канал сбыта]],справочники!A:D,4,0)</f>
        <v>2</v>
      </c>
      <c r="J101" s="23">
        <f>VLOOKUP(Таблица2[[#This Row],[канал сбыта]],справочники!A:E,5,0)</f>
        <v>0.0138888888888889</v>
      </c>
      <c r="K101" s="24">
        <f>VLOOKUP(Таблица2[[#This Row],[канал сбыта]],справочники!A:E,2,0)</f>
        <v>0.291666666666667</v>
      </c>
      <c r="L101" s="24">
        <f>VLOOKUP(Таблица2[[#This Row],[канал сбыта]],справочники!A:E,3,0)</f>
        <v>0.333333333333333</v>
      </c>
      <c r="M101" s="24">
        <v>0.25</v>
      </c>
      <c r="N101" s="25"/>
      <c r="O101" s="26">
        <v>15576</v>
      </c>
      <c r="P101" s="27">
        <f>IFERROR(Таблица2[[#This Row],[сумма отгрузки текущая]]/40,"")</f>
        <v>389.4</v>
      </c>
      <c r="Q101" s="27">
        <f>IFERROR(ROUNDUP(Таблица2[[#This Row],[кол-во ед. продукции]]/20,0),"")</f>
        <v>20</v>
      </c>
      <c r="R101" s="26">
        <f t="shared" ref="R101:R125" si="2">O101*IF(ABS((N101-M101)*1440)&gt;180,IF((N101-M101)*1440&gt;0,0.85,1.1),IF(ABS((N101-M101)*1440)&gt;120,IF((N101-M101)*1440&gt;0,0.93,1.07),IF(ABS((N101-M101)*1440)&gt;60,IF((N101-M101)*1440&gt;0,0.97,1.03),1)))</f>
        <v>17133.6</v>
      </c>
      <c r="S101" s="27">
        <f>IFERROR(Таблица2[[#This Row],[сумма отгрузки план]]/40,"")</f>
        <v>428.34</v>
      </c>
      <c r="T101" s="36">
        <f>IFERROR(ROUNDUP(Таблица2[[#This Row],[кол-во продукции план]]/20,0),"")</f>
        <v>22</v>
      </c>
    </row>
    <row r="102" ht="30" customHeight="1" spans="1:20">
      <c r="A102" s="11">
        <f>SUBTOTAL(3,C$1:C101)</f>
        <v>101</v>
      </c>
      <c r="B102" s="28" t="s">
        <v>412</v>
      </c>
      <c r="C102" s="7" t="s">
        <v>413</v>
      </c>
      <c r="D102" s="16" t="s">
        <v>414</v>
      </c>
      <c r="E102" s="17" t="s">
        <v>415</v>
      </c>
      <c r="F102" s="10" t="s">
        <v>411</v>
      </c>
      <c r="G102" s="10"/>
      <c r="H102" s="10" t="s">
        <v>35</v>
      </c>
      <c r="I102" s="15">
        <f>VLOOKUP(Таблица2[[#This Row],[канал сбыта]],справочники!A:D,4,0)</f>
        <v>1</v>
      </c>
      <c r="J102" s="23">
        <f>VLOOKUP(Таблица2[[#This Row],[канал сбыта]],справочники!A:E,5,0)</f>
        <v>0.00486111111111111</v>
      </c>
      <c r="K102" s="24">
        <f>VLOOKUP(Таблица2[[#This Row],[канал сбыта]],справочники!A:E,2,0)</f>
        <v>0.208333333333333</v>
      </c>
      <c r="L102" s="24">
        <f>VLOOKUP(Таблица2[[#This Row],[канал сбыта]],справочники!A:E,3,0)</f>
        <v>0.333333333333333</v>
      </c>
      <c r="M102" s="24">
        <v>0.263888888888889</v>
      </c>
      <c r="N102" s="25"/>
      <c r="O102" s="26">
        <v>1888</v>
      </c>
      <c r="P102" s="27">
        <f>IFERROR(Таблица2[[#This Row],[сумма отгрузки текущая]]/40,"")</f>
        <v>47.2</v>
      </c>
      <c r="Q102" s="27">
        <f>IFERROR(ROUNDUP(Таблица2[[#This Row],[кол-во ед. продукции]]/20,0),"")</f>
        <v>3</v>
      </c>
      <c r="R102" s="26">
        <f t="shared" si="2"/>
        <v>2076.8</v>
      </c>
      <c r="S102" s="27">
        <f>IFERROR(Таблица2[[#This Row],[сумма отгрузки план]]/40,"")</f>
        <v>51.92</v>
      </c>
      <c r="T102" s="36">
        <f>IFERROR(ROUNDUP(Таблица2[[#This Row],[кол-во продукции план]]/20,0),"")</f>
        <v>3</v>
      </c>
    </row>
    <row r="103" ht="30" customHeight="1" spans="1:20">
      <c r="A103" s="11">
        <f>SUBTOTAL(3,C$1:C102)</f>
        <v>102</v>
      </c>
      <c r="B103" s="28" t="s">
        <v>416</v>
      </c>
      <c r="C103" s="37" t="s">
        <v>417</v>
      </c>
      <c r="D103" s="16" t="s">
        <v>418</v>
      </c>
      <c r="E103" s="17" t="s">
        <v>419</v>
      </c>
      <c r="F103" s="10" t="s">
        <v>411</v>
      </c>
      <c r="G103" s="10"/>
      <c r="H103" s="10" t="s">
        <v>35</v>
      </c>
      <c r="I103" s="15">
        <f>VLOOKUP(Таблица2[[#This Row],[канал сбыта]],справочники!A:D,4,0)</f>
        <v>1</v>
      </c>
      <c r="J103" s="23">
        <f>VLOOKUP(Таблица2[[#This Row],[канал сбыта]],справочники!A:E,5,0)</f>
        <v>0.00486111111111111</v>
      </c>
      <c r="K103" s="24">
        <f>VLOOKUP(Таблица2[[#This Row],[канал сбыта]],справочники!A:E,2,0)</f>
        <v>0.208333333333333</v>
      </c>
      <c r="L103" s="24">
        <f>VLOOKUP(Таблица2[[#This Row],[канал сбыта]],справочники!A:E,3,0)</f>
        <v>0.333333333333333</v>
      </c>
      <c r="M103" s="24">
        <v>0.284722222222222</v>
      </c>
      <c r="N103" s="25"/>
      <c r="O103" s="26">
        <v>6928</v>
      </c>
      <c r="P103" s="27">
        <f>IFERROR(Таблица2[[#This Row],[сумма отгрузки текущая]]/40,"")</f>
        <v>173.2</v>
      </c>
      <c r="Q103" s="27">
        <f>IFERROR(ROUNDUP(Таблица2[[#This Row],[кол-во ед. продукции]]/20,0),"")</f>
        <v>9</v>
      </c>
      <c r="R103" s="26">
        <f t="shared" si="2"/>
        <v>7620.8</v>
      </c>
      <c r="S103" s="27">
        <f>IFERROR(Таблица2[[#This Row],[сумма отгрузки план]]/40,"")</f>
        <v>190.52</v>
      </c>
      <c r="T103" s="36">
        <f>IFERROR(ROUNDUP(Таблица2[[#This Row],[кол-во продукции план]]/20,0),"")</f>
        <v>10</v>
      </c>
    </row>
    <row r="104" ht="28.5" customHeight="1" spans="1:20">
      <c r="A104" s="11">
        <f>SUBTOTAL(3,C$1:C103)</f>
        <v>103</v>
      </c>
      <c r="B104" s="28" t="s">
        <v>420</v>
      </c>
      <c r="C104" s="7" t="s">
        <v>421</v>
      </c>
      <c r="D104" s="16" t="s">
        <v>422</v>
      </c>
      <c r="E104" s="17" t="s">
        <v>423</v>
      </c>
      <c r="F104" s="10" t="s">
        <v>424</v>
      </c>
      <c r="G104" s="10"/>
      <c r="H104" s="10" t="s">
        <v>35</v>
      </c>
      <c r="I104" s="15">
        <f>VLOOKUP(Таблица2[[#This Row],[канал сбыта]],справочники!A:D,4,0)</f>
        <v>1</v>
      </c>
      <c r="J104" s="23">
        <f>VLOOKUP(Таблица2[[#This Row],[канал сбыта]],справочники!A:E,5,0)</f>
        <v>0.00486111111111111</v>
      </c>
      <c r="K104" s="24">
        <f>VLOOKUP(Таблица2[[#This Row],[канал сбыта]],справочники!A:E,2,0)</f>
        <v>0.208333333333333</v>
      </c>
      <c r="L104" s="24">
        <f>VLOOKUP(Таблица2[[#This Row],[канал сбыта]],справочники!A:E,3,0)</f>
        <v>0.333333333333333</v>
      </c>
      <c r="M104" s="24">
        <v>0.305555555555556</v>
      </c>
      <c r="N104" s="25"/>
      <c r="O104" s="26">
        <v>860</v>
      </c>
      <c r="P104" s="27">
        <f>IFERROR(Таблица2[[#This Row],[сумма отгрузки текущая]]/40,"")</f>
        <v>21.5</v>
      </c>
      <c r="Q104" s="27">
        <f>IFERROR(ROUNDUP(Таблица2[[#This Row],[кол-во ед. продукции]]/20,0),"")</f>
        <v>2</v>
      </c>
      <c r="R104" s="26">
        <f t="shared" si="2"/>
        <v>946</v>
      </c>
      <c r="S104" s="27">
        <f>IFERROR(Таблица2[[#This Row],[сумма отгрузки план]]/40,"")</f>
        <v>23.65</v>
      </c>
      <c r="T104" s="36">
        <f>IFERROR(ROUNDUP(Таблица2[[#This Row],[кол-во продукции план]]/20,0),"")</f>
        <v>2</v>
      </c>
    </row>
    <row r="105" ht="27" customHeight="1" spans="1:20">
      <c r="A105" s="11">
        <f>SUBTOTAL(3,C$1:C104)</f>
        <v>104</v>
      </c>
      <c r="B105" s="28">
        <v>1811</v>
      </c>
      <c r="C105" s="7" t="s">
        <v>425</v>
      </c>
      <c r="D105" s="16" t="s">
        <v>426</v>
      </c>
      <c r="E105" s="16" t="s">
        <v>427</v>
      </c>
      <c r="F105" s="10" t="s">
        <v>424</v>
      </c>
      <c r="G105" s="10"/>
      <c r="H105" s="10" t="s">
        <v>35</v>
      </c>
      <c r="I105" s="15">
        <f>VLOOKUP(Таблица2[[#This Row],[канал сбыта]],справочники!A:D,4,0)</f>
        <v>1</v>
      </c>
      <c r="J105" s="23">
        <f>VLOOKUP(Таблица2[[#This Row],[канал сбыта]],справочники!A:E,5,0)</f>
        <v>0.00486111111111111</v>
      </c>
      <c r="K105" s="24">
        <f>VLOOKUP(Таблица2[[#This Row],[канал сбыта]],справочники!A:E,2,0)</f>
        <v>0.208333333333333</v>
      </c>
      <c r="L105" s="24">
        <f>VLOOKUP(Таблица2[[#This Row],[канал сбыта]],справочники!A:E,3,0)</f>
        <v>0.333333333333333</v>
      </c>
      <c r="M105" s="24">
        <v>0.309027777777778</v>
      </c>
      <c r="N105" s="25"/>
      <c r="O105" s="26">
        <v>1328</v>
      </c>
      <c r="P105" s="27">
        <f>IFERROR(Таблица2[[#This Row],[сумма отгрузки текущая]]/40,"")</f>
        <v>33.2</v>
      </c>
      <c r="Q105" s="27">
        <f>IFERROR(ROUNDUP(Таблица2[[#This Row],[кол-во ед. продукции]]/20,0),"")</f>
        <v>2</v>
      </c>
      <c r="R105" s="26">
        <f t="shared" si="2"/>
        <v>1460.8</v>
      </c>
      <c r="S105" s="27">
        <f>IFERROR(Таблица2[[#This Row],[сумма отгрузки план]]/40,"")</f>
        <v>36.52</v>
      </c>
      <c r="T105" s="36">
        <f>IFERROR(ROUNDUP(Таблица2[[#This Row],[кол-во продукции план]]/20,0),"")</f>
        <v>2</v>
      </c>
    </row>
    <row r="106" ht="30" customHeight="1" spans="1:20">
      <c r="A106" s="11">
        <f>SUBTOTAL(3,C$1:C105)</f>
        <v>105</v>
      </c>
      <c r="B106" s="28" t="s">
        <v>428</v>
      </c>
      <c r="C106" s="7" t="s">
        <v>429</v>
      </c>
      <c r="D106" s="16" t="s">
        <v>430</v>
      </c>
      <c r="E106" s="17" t="s">
        <v>431</v>
      </c>
      <c r="F106" s="10" t="s">
        <v>424</v>
      </c>
      <c r="G106" s="10"/>
      <c r="H106" s="10" t="s">
        <v>24</v>
      </c>
      <c r="I106" s="15">
        <f>VLOOKUP(Таблица2[[#This Row],[канал сбыта]],справочники!A:D,4,0)</f>
        <v>3</v>
      </c>
      <c r="J106" s="23">
        <f>VLOOKUP(Таблица2[[#This Row],[канал сбыта]],справочники!A:E,5,0)</f>
        <v>0.00347222222222222</v>
      </c>
      <c r="K106" s="24">
        <f>VLOOKUP(Таблица2[[#This Row],[канал сбыта]],справочники!A:E,2,0)</f>
        <v>0.333333333333333</v>
      </c>
      <c r="L106" s="24">
        <f>VLOOKUP(Таблица2[[#This Row],[канал сбыта]],справочники!A:E,3,0)</f>
        <v>0.416666666666667</v>
      </c>
      <c r="M106" s="24">
        <v>0.319444444444444</v>
      </c>
      <c r="N106" s="25"/>
      <c r="O106" s="26">
        <v>1626</v>
      </c>
      <c r="P106" s="27">
        <f>IFERROR(Таблица2[[#This Row],[сумма отгрузки текущая]]/40,"")</f>
        <v>40.65</v>
      </c>
      <c r="Q106" s="27">
        <f>IFERROR(ROUNDUP(Таблица2[[#This Row],[кол-во ед. продукции]]/20,0),"")</f>
        <v>3</v>
      </c>
      <c r="R106" s="26">
        <f t="shared" si="2"/>
        <v>1788.6</v>
      </c>
      <c r="S106" s="27">
        <f>IFERROR(Таблица2[[#This Row],[сумма отгрузки план]]/40,"")</f>
        <v>44.715</v>
      </c>
      <c r="T106" s="36">
        <f>IFERROR(ROUNDUP(Таблица2[[#This Row],[кол-во продукции план]]/20,0),"")</f>
        <v>3</v>
      </c>
    </row>
    <row r="107" ht="30" customHeight="1" spans="1:20">
      <c r="A107" s="11">
        <f>SUBTOTAL(3,C$1:C106)</f>
        <v>106</v>
      </c>
      <c r="B107" s="28" t="s">
        <v>432</v>
      </c>
      <c r="C107" s="7" t="s">
        <v>433</v>
      </c>
      <c r="D107" s="16" t="s">
        <v>434</v>
      </c>
      <c r="E107" s="17" t="s">
        <v>435</v>
      </c>
      <c r="F107" s="10" t="s">
        <v>424</v>
      </c>
      <c r="G107" s="10"/>
      <c r="H107" s="10" t="s">
        <v>55</v>
      </c>
      <c r="I107" s="15">
        <f>VLOOKUP(Таблица2[[#This Row],[канал сбыта]],справочники!A:D,4,0)</f>
        <v>3</v>
      </c>
      <c r="J107" s="23">
        <f>VLOOKUP(Таблица2[[#This Row],[канал сбыта]],справочники!A:E,5,0)</f>
        <v>0.00486111111111111</v>
      </c>
      <c r="K107" s="24">
        <f>VLOOKUP(Таблица2[[#This Row],[канал сбыта]],справочники!A:E,2,0)</f>
        <v>0.333333333333333</v>
      </c>
      <c r="L107" s="24">
        <f>VLOOKUP(Таблица2[[#This Row],[канал сбыта]],справочники!A:E,3,0)</f>
        <v>0.5</v>
      </c>
      <c r="M107" s="24">
        <v>0.326388888888889</v>
      </c>
      <c r="N107" s="25"/>
      <c r="O107" s="26">
        <v>6094</v>
      </c>
      <c r="P107" s="27">
        <f>IFERROR(Таблица2[[#This Row],[сумма отгрузки текущая]]/40,"")</f>
        <v>152.35</v>
      </c>
      <c r="Q107" s="27">
        <f>IFERROR(ROUNDUP(Таблица2[[#This Row],[кол-во ед. продукции]]/20,0),"")</f>
        <v>8</v>
      </c>
      <c r="R107" s="26">
        <f t="shared" si="2"/>
        <v>6703.4</v>
      </c>
      <c r="S107" s="27">
        <f>IFERROR(Таблица2[[#This Row],[сумма отгрузки план]]/40,"")</f>
        <v>167.585</v>
      </c>
      <c r="T107" s="36">
        <f>IFERROR(ROUNDUP(Таблица2[[#This Row],[кол-во продукции план]]/20,0),"")</f>
        <v>9</v>
      </c>
    </row>
    <row r="108" ht="28.5" customHeight="1" spans="1:20">
      <c r="A108" s="11">
        <f>SUBTOTAL(3,C$1:C107)</f>
        <v>107</v>
      </c>
      <c r="B108" s="28" t="s">
        <v>436</v>
      </c>
      <c r="C108" s="7" t="s">
        <v>437</v>
      </c>
      <c r="D108" s="16" t="s">
        <v>438</v>
      </c>
      <c r="E108" s="17" t="s">
        <v>439</v>
      </c>
      <c r="F108" s="10" t="s">
        <v>424</v>
      </c>
      <c r="G108" s="10"/>
      <c r="H108" s="10" t="s">
        <v>24</v>
      </c>
      <c r="I108" s="15">
        <f>VLOOKUP(Таблица2[[#This Row],[канал сбыта]],справочники!A:D,4,0)</f>
        <v>3</v>
      </c>
      <c r="J108" s="23">
        <f>VLOOKUP(Таблица2[[#This Row],[канал сбыта]],справочники!A:E,5,0)</f>
        <v>0.00347222222222222</v>
      </c>
      <c r="K108" s="24">
        <f>VLOOKUP(Таблица2[[#This Row],[канал сбыта]],справочники!A:E,2,0)</f>
        <v>0.333333333333333</v>
      </c>
      <c r="L108" s="24">
        <f>VLOOKUP(Таблица2[[#This Row],[канал сбыта]],справочники!A:E,3,0)</f>
        <v>0.416666666666667</v>
      </c>
      <c r="M108" s="24">
        <v>0.333333333333333</v>
      </c>
      <c r="N108" s="25"/>
      <c r="O108" s="26">
        <v>835</v>
      </c>
      <c r="P108" s="27">
        <f>IFERROR(Таблица2[[#This Row],[сумма отгрузки текущая]]/40,"")</f>
        <v>20.875</v>
      </c>
      <c r="Q108" s="27">
        <f>IFERROR(ROUNDUP(Таблица2[[#This Row],[кол-во ед. продукции]]/20,0),"")</f>
        <v>2</v>
      </c>
      <c r="R108" s="26">
        <f t="shared" si="2"/>
        <v>918.5</v>
      </c>
      <c r="S108" s="27">
        <f>IFERROR(Таблица2[[#This Row],[сумма отгрузки план]]/40,"")</f>
        <v>22.9625</v>
      </c>
      <c r="T108" s="36">
        <f>IFERROR(ROUNDUP(Таблица2[[#This Row],[кол-во продукции план]]/20,0),"")</f>
        <v>2</v>
      </c>
    </row>
    <row r="109" ht="29.25" customHeight="1" spans="1:20">
      <c r="A109" s="11">
        <f>SUBTOTAL(3,C$1:C108)</f>
        <v>108</v>
      </c>
      <c r="B109" s="28">
        <v>1318</v>
      </c>
      <c r="C109" s="7" t="s">
        <v>440</v>
      </c>
      <c r="D109" s="16" t="s">
        <v>441</v>
      </c>
      <c r="E109" s="17" t="s">
        <v>442</v>
      </c>
      <c r="F109" s="10" t="s">
        <v>424</v>
      </c>
      <c r="G109" s="10"/>
      <c r="H109" s="10" t="s">
        <v>24</v>
      </c>
      <c r="I109" s="15">
        <f>VLOOKUP(Таблица2[[#This Row],[канал сбыта]],справочники!A:D,4,0)</f>
        <v>3</v>
      </c>
      <c r="J109" s="23">
        <f>VLOOKUP(Таблица2[[#This Row],[канал сбыта]],справочники!A:E,5,0)</f>
        <v>0.00347222222222222</v>
      </c>
      <c r="K109" s="24">
        <f>VLOOKUP(Таблица2[[#This Row],[канал сбыта]],справочники!A:E,2,0)</f>
        <v>0.333333333333333</v>
      </c>
      <c r="L109" s="24">
        <f>VLOOKUP(Таблица2[[#This Row],[канал сбыта]],справочники!A:E,3,0)</f>
        <v>0.416666666666667</v>
      </c>
      <c r="M109" s="24">
        <v>0.340277777777778</v>
      </c>
      <c r="N109" s="25"/>
      <c r="O109" s="26">
        <v>664</v>
      </c>
      <c r="P109" s="27">
        <f>IFERROR(Таблица2[[#This Row],[сумма отгрузки текущая]]/40,"")</f>
        <v>16.6</v>
      </c>
      <c r="Q109" s="27">
        <f>IFERROR(ROUNDUP(Таблица2[[#This Row],[кол-во ед. продукции]]/20,0),"")</f>
        <v>1</v>
      </c>
      <c r="R109" s="26">
        <f t="shared" si="2"/>
        <v>730.4</v>
      </c>
      <c r="S109" s="27">
        <f>IFERROR(Таблица2[[#This Row],[сумма отгрузки план]]/40,"")</f>
        <v>18.26</v>
      </c>
      <c r="T109" s="36">
        <f>IFERROR(ROUNDUP(Таблица2[[#This Row],[кол-во продукции план]]/20,0),"")</f>
        <v>1</v>
      </c>
    </row>
    <row r="110" ht="28.5" customHeight="1" spans="1:20">
      <c r="A110" s="11">
        <f>SUBTOTAL(3,C$1:C109)</f>
        <v>109</v>
      </c>
      <c r="B110" s="28">
        <v>1183</v>
      </c>
      <c r="C110" s="7" t="s">
        <v>443</v>
      </c>
      <c r="D110" s="16" t="s">
        <v>444</v>
      </c>
      <c r="E110" s="17" t="s">
        <v>445</v>
      </c>
      <c r="F110" s="10" t="s">
        <v>424</v>
      </c>
      <c r="G110" s="10"/>
      <c r="H110" s="10" t="s">
        <v>24</v>
      </c>
      <c r="I110" s="15">
        <f>VLOOKUP(Таблица2[[#This Row],[канал сбыта]],справочники!A:D,4,0)</f>
        <v>3</v>
      </c>
      <c r="J110" s="23">
        <f>VLOOKUP(Таблица2[[#This Row],[канал сбыта]],справочники!A:E,5,0)</f>
        <v>0.00347222222222222</v>
      </c>
      <c r="K110" s="24">
        <f>VLOOKUP(Таблица2[[#This Row],[канал сбыта]],справочники!A:E,2,0)</f>
        <v>0.333333333333333</v>
      </c>
      <c r="L110" s="24">
        <f>VLOOKUP(Таблица2[[#This Row],[канал сбыта]],справочники!A:E,3,0)</f>
        <v>0.416666666666667</v>
      </c>
      <c r="M110" s="24">
        <v>0.347222222222222</v>
      </c>
      <c r="N110" s="25"/>
      <c r="O110" s="26">
        <v>708</v>
      </c>
      <c r="P110" s="27">
        <f>IFERROR(Таблица2[[#This Row],[сумма отгрузки текущая]]/40,"")</f>
        <v>17.7</v>
      </c>
      <c r="Q110" s="27">
        <f>IFERROR(ROUNDUP(Таблица2[[#This Row],[кол-во ед. продукции]]/20,0),"")</f>
        <v>1</v>
      </c>
      <c r="R110" s="26">
        <f t="shared" si="2"/>
        <v>778.8</v>
      </c>
      <c r="S110" s="27">
        <f>IFERROR(Таблица2[[#This Row],[сумма отгрузки план]]/40,"")</f>
        <v>19.47</v>
      </c>
      <c r="T110" s="36">
        <f>IFERROR(ROUNDUP(Таблица2[[#This Row],[кол-во продукции план]]/20,0),"")</f>
        <v>1</v>
      </c>
    </row>
    <row r="111" ht="32.25" customHeight="1" spans="1:20">
      <c r="A111" s="11">
        <f>SUBTOTAL(3,C$1:C110)</f>
        <v>110</v>
      </c>
      <c r="B111" s="28" t="s">
        <v>446</v>
      </c>
      <c r="C111" s="7" t="s">
        <v>447</v>
      </c>
      <c r="D111" s="16" t="s">
        <v>448</v>
      </c>
      <c r="E111" s="17" t="s">
        <v>449</v>
      </c>
      <c r="F111" s="10" t="s">
        <v>424</v>
      </c>
      <c r="G111" s="10"/>
      <c r="H111" s="10" t="s">
        <v>24</v>
      </c>
      <c r="I111" s="15">
        <f>VLOOKUP(Таблица2[[#This Row],[канал сбыта]],справочники!A:D,4,0)</f>
        <v>3</v>
      </c>
      <c r="J111" s="23">
        <f>VLOOKUP(Таблица2[[#This Row],[канал сбыта]],справочники!A:E,5,0)</f>
        <v>0.00347222222222222</v>
      </c>
      <c r="K111" s="24">
        <f>VLOOKUP(Таблица2[[#This Row],[канал сбыта]],справочники!A:E,2,0)</f>
        <v>0.333333333333333</v>
      </c>
      <c r="L111" s="24">
        <f>VLOOKUP(Таблица2[[#This Row],[канал сбыта]],справочники!A:E,3,0)</f>
        <v>0.416666666666667</v>
      </c>
      <c r="M111" s="24">
        <v>0.354166666666667</v>
      </c>
      <c r="N111" s="25"/>
      <c r="O111" s="26">
        <v>710</v>
      </c>
      <c r="P111" s="27">
        <f>IFERROR(Таблица2[[#This Row],[сумма отгрузки текущая]]/40,"")</f>
        <v>17.75</v>
      </c>
      <c r="Q111" s="27">
        <f>IFERROR(ROUNDUP(Таблица2[[#This Row],[кол-во ед. продукции]]/20,0),"")</f>
        <v>1</v>
      </c>
      <c r="R111" s="26">
        <f t="shared" si="2"/>
        <v>781</v>
      </c>
      <c r="S111" s="27">
        <f>IFERROR(Таблица2[[#This Row],[сумма отгрузки план]]/40,"")</f>
        <v>19.525</v>
      </c>
      <c r="T111" s="36">
        <f>IFERROR(ROUNDUP(Таблица2[[#This Row],[кол-во продукции план]]/20,0),"")</f>
        <v>1</v>
      </c>
    </row>
    <row r="112" ht="29.25" customHeight="1" spans="1:20">
      <c r="A112" s="11">
        <f>SUBTOTAL(3,C$1:C111)</f>
        <v>111</v>
      </c>
      <c r="B112" s="28" t="s">
        <v>450</v>
      </c>
      <c r="C112" s="7" t="s">
        <v>451</v>
      </c>
      <c r="D112" s="16" t="s">
        <v>452</v>
      </c>
      <c r="E112" s="17" t="s">
        <v>453</v>
      </c>
      <c r="F112" s="10" t="s">
        <v>424</v>
      </c>
      <c r="G112" s="10"/>
      <c r="H112" s="10" t="s">
        <v>55</v>
      </c>
      <c r="I112" s="15">
        <f>VLOOKUP(Таблица2[[#This Row],[канал сбыта]],справочники!A:D,4,0)</f>
        <v>3</v>
      </c>
      <c r="J112" s="23">
        <f>VLOOKUP(Таблица2[[#This Row],[канал сбыта]],справочники!A:E,5,0)</f>
        <v>0.00486111111111111</v>
      </c>
      <c r="K112" s="24">
        <f>VLOOKUP(Таблица2[[#This Row],[канал сбыта]],справочники!A:E,2,0)</f>
        <v>0.333333333333333</v>
      </c>
      <c r="L112" s="24">
        <f>VLOOKUP(Таблица2[[#This Row],[канал сбыта]],справочники!A:E,3,0)</f>
        <v>0.5</v>
      </c>
      <c r="M112" s="24">
        <v>0.361111111111111</v>
      </c>
      <c r="N112" s="25"/>
      <c r="O112" s="26">
        <v>8346</v>
      </c>
      <c r="P112" s="27">
        <f>IFERROR(Таблица2[[#This Row],[сумма отгрузки текущая]]/40,"")</f>
        <v>208.65</v>
      </c>
      <c r="Q112" s="27">
        <f>IFERROR(ROUNDUP(Таблица2[[#This Row],[кол-во ед. продукции]]/20,0),"")</f>
        <v>11</v>
      </c>
      <c r="R112" s="26">
        <f t="shared" si="2"/>
        <v>9180.6</v>
      </c>
      <c r="S112" s="27">
        <f>IFERROR(Таблица2[[#This Row],[сумма отгрузки план]]/40,"")</f>
        <v>229.515</v>
      </c>
      <c r="T112" s="36">
        <f>IFERROR(ROUNDUP(Таблица2[[#This Row],[кол-во продукции план]]/20,0),"")</f>
        <v>12</v>
      </c>
    </row>
    <row r="113" ht="31.5" customHeight="1" spans="1:20">
      <c r="A113" s="11">
        <f>SUBTOTAL(3,C$1:C112)</f>
        <v>112</v>
      </c>
      <c r="B113" s="28" t="s">
        <v>454</v>
      </c>
      <c r="C113" s="7" t="s">
        <v>455</v>
      </c>
      <c r="D113" s="16" t="s">
        <v>456</v>
      </c>
      <c r="E113" s="17" t="s">
        <v>457</v>
      </c>
      <c r="F113" s="10" t="s">
        <v>424</v>
      </c>
      <c r="G113" s="10"/>
      <c r="H113" s="10" t="s">
        <v>24</v>
      </c>
      <c r="I113" s="15">
        <f>VLOOKUP(Таблица2[[#This Row],[канал сбыта]],справочники!A:D,4,0)</f>
        <v>3</v>
      </c>
      <c r="J113" s="23">
        <f>VLOOKUP(Таблица2[[#This Row],[канал сбыта]],справочники!A:E,5,0)</f>
        <v>0.00347222222222222</v>
      </c>
      <c r="K113" s="24">
        <f>VLOOKUP(Таблица2[[#This Row],[канал сбыта]],справочники!A:E,2,0)</f>
        <v>0.333333333333333</v>
      </c>
      <c r="L113" s="24">
        <f>VLOOKUP(Таблица2[[#This Row],[канал сбыта]],справочники!A:E,3,0)</f>
        <v>0.416666666666667</v>
      </c>
      <c r="M113" s="24">
        <v>0.368055555555556</v>
      </c>
      <c r="N113" s="25"/>
      <c r="O113" s="26">
        <v>662</v>
      </c>
      <c r="P113" s="27">
        <f>IFERROR(Таблица2[[#This Row],[сумма отгрузки текущая]]/40,"")</f>
        <v>16.55</v>
      </c>
      <c r="Q113" s="27">
        <f>IFERROR(ROUNDUP(Таблица2[[#This Row],[кол-во ед. продукции]]/20,0),"")</f>
        <v>1</v>
      </c>
      <c r="R113" s="26">
        <f t="shared" si="2"/>
        <v>728.2</v>
      </c>
      <c r="S113" s="27">
        <f>IFERROR(Таблица2[[#This Row],[сумма отгрузки план]]/40,"")</f>
        <v>18.205</v>
      </c>
      <c r="T113" s="36">
        <f>IFERROR(ROUNDUP(Таблица2[[#This Row],[кол-во продукции план]]/20,0),"")</f>
        <v>1</v>
      </c>
    </row>
    <row r="114" ht="29.25" customHeight="1" spans="1:20">
      <c r="A114" s="11">
        <f>SUBTOTAL(3,C$1:C113)</f>
        <v>113</v>
      </c>
      <c r="B114" s="28" t="s">
        <v>458</v>
      </c>
      <c r="C114" s="7" t="s">
        <v>459</v>
      </c>
      <c r="D114" s="16" t="s">
        <v>460</v>
      </c>
      <c r="E114" s="17" t="s">
        <v>461</v>
      </c>
      <c r="F114" s="10" t="s">
        <v>424</v>
      </c>
      <c r="G114" s="10"/>
      <c r="H114" s="10" t="s">
        <v>91</v>
      </c>
      <c r="I114" s="15">
        <f>VLOOKUP(Таблица2[[#This Row],[канал сбыта]],справочники!A:D,4,0)</f>
        <v>3</v>
      </c>
      <c r="J114" s="23">
        <f>VLOOKUP(Таблица2[[#This Row],[канал сбыта]],справочники!A:E,5,0)</f>
        <v>0.00486111111111111</v>
      </c>
      <c r="K114" s="24">
        <f>VLOOKUP(Таблица2[[#This Row],[канал сбыта]],справочники!A:E,2,0)</f>
        <v>0.333333333333333</v>
      </c>
      <c r="L114" s="24">
        <f>VLOOKUP(Таблица2[[#This Row],[канал сбыта]],справочники!A:E,3,0)</f>
        <v>0.458333333333333</v>
      </c>
      <c r="M114" s="24">
        <v>0.371527777777778</v>
      </c>
      <c r="N114" s="25"/>
      <c r="O114" s="26">
        <v>1708</v>
      </c>
      <c r="P114" s="27">
        <f>IFERROR(Таблица2[[#This Row],[сумма отгрузки текущая]]/40,"")</f>
        <v>42.7</v>
      </c>
      <c r="Q114" s="27">
        <f>IFERROR(ROUNDUP(Таблица2[[#This Row],[кол-во ед. продукции]]/20,0),"")</f>
        <v>3</v>
      </c>
      <c r="R114" s="26">
        <f t="shared" si="2"/>
        <v>1878.8</v>
      </c>
      <c r="S114" s="27">
        <f>IFERROR(Таблица2[[#This Row],[сумма отгрузки план]]/40,"")</f>
        <v>46.97</v>
      </c>
      <c r="T114" s="36">
        <f>IFERROR(ROUNDUP(Таблица2[[#This Row],[кол-во продукции план]]/20,0),"")</f>
        <v>3</v>
      </c>
    </row>
    <row r="115" ht="30.75" customHeight="1" spans="1:20">
      <c r="A115" s="11">
        <f>SUBTOTAL(3,C$1:C114)</f>
        <v>114</v>
      </c>
      <c r="B115" s="28" t="s">
        <v>462</v>
      </c>
      <c r="C115" s="7" t="s">
        <v>463</v>
      </c>
      <c r="D115" s="16" t="s">
        <v>464</v>
      </c>
      <c r="E115" s="17" t="s">
        <v>465</v>
      </c>
      <c r="F115" s="10" t="s">
        <v>424</v>
      </c>
      <c r="G115" s="10"/>
      <c r="H115" s="10" t="s">
        <v>24</v>
      </c>
      <c r="I115" s="15">
        <f>VLOOKUP(Таблица2[[#This Row],[канал сбыта]],справочники!A:D,4,0)</f>
        <v>3</v>
      </c>
      <c r="J115" s="23">
        <f>VLOOKUP(Таблица2[[#This Row],[канал сбыта]],справочники!A:E,5,0)</f>
        <v>0.00347222222222222</v>
      </c>
      <c r="K115" s="24">
        <f>VLOOKUP(Таблица2[[#This Row],[канал сбыта]],справочники!A:E,2,0)</f>
        <v>0.333333333333333</v>
      </c>
      <c r="L115" s="24">
        <f>VLOOKUP(Таблица2[[#This Row],[канал сбыта]],справочники!A:E,3,0)</f>
        <v>0.416666666666667</v>
      </c>
      <c r="M115" s="24">
        <v>0.375</v>
      </c>
      <c r="N115" s="25"/>
      <c r="O115" s="26">
        <v>1539</v>
      </c>
      <c r="P115" s="27">
        <f>IFERROR(Таблица2[[#This Row],[сумма отгрузки текущая]]/40,"")</f>
        <v>38.475</v>
      </c>
      <c r="Q115" s="27">
        <f>IFERROR(ROUNDUP(Таблица2[[#This Row],[кол-во ед. продукции]]/20,0),"")</f>
        <v>2</v>
      </c>
      <c r="R115" s="26">
        <f t="shared" si="2"/>
        <v>1692.9</v>
      </c>
      <c r="S115" s="27">
        <f>IFERROR(Таблица2[[#This Row],[сумма отгрузки план]]/40,"")</f>
        <v>42.3225</v>
      </c>
      <c r="T115" s="36">
        <f>IFERROR(ROUNDUP(Таблица2[[#This Row],[кол-во продукции план]]/20,0),"")</f>
        <v>3</v>
      </c>
    </row>
    <row r="116" ht="27" customHeight="1" spans="1:20">
      <c r="A116" s="11">
        <f>SUBTOTAL(3,C$1:C115)</f>
        <v>115</v>
      </c>
      <c r="B116" s="28" t="s">
        <v>466</v>
      </c>
      <c r="C116" s="7" t="s">
        <v>467</v>
      </c>
      <c r="D116" s="16" t="s">
        <v>468</v>
      </c>
      <c r="E116" s="17" t="s">
        <v>469</v>
      </c>
      <c r="F116" s="10" t="s">
        <v>424</v>
      </c>
      <c r="G116" s="10"/>
      <c r="H116" s="10" t="s">
        <v>24</v>
      </c>
      <c r="I116" s="15">
        <f>VLOOKUP(Таблица2[[#This Row],[канал сбыта]],справочники!A:D,4,0)</f>
        <v>3</v>
      </c>
      <c r="J116" s="23">
        <f>VLOOKUP(Таблица2[[#This Row],[канал сбыта]],справочники!A:E,5,0)</f>
        <v>0.00347222222222222</v>
      </c>
      <c r="K116" s="24">
        <f>VLOOKUP(Таблица2[[#This Row],[канал сбыта]],справочники!A:E,2,0)</f>
        <v>0.333333333333333</v>
      </c>
      <c r="L116" s="24">
        <f>VLOOKUP(Таблица2[[#This Row],[канал сбыта]],справочники!A:E,3,0)</f>
        <v>0.416666666666667</v>
      </c>
      <c r="M116" s="24">
        <v>0.381944444444444</v>
      </c>
      <c r="N116" s="25"/>
      <c r="O116" s="26">
        <v>1929</v>
      </c>
      <c r="P116" s="27">
        <f>IFERROR(Таблица2[[#This Row],[сумма отгрузки текущая]]/40,"")</f>
        <v>48.225</v>
      </c>
      <c r="Q116" s="27">
        <f>IFERROR(ROUNDUP(Таблица2[[#This Row],[кол-во ед. продукции]]/20,0),"")</f>
        <v>3</v>
      </c>
      <c r="R116" s="26">
        <f t="shared" si="2"/>
        <v>2121.9</v>
      </c>
      <c r="S116" s="27">
        <f>IFERROR(Таблица2[[#This Row],[сумма отгрузки план]]/40,"")</f>
        <v>53.0475</v>
      </c>
      <c r="T116" s="36">
        <f>IFERROR(ROUNDUP(Таблица2[[#This Row],[кол-во продукции план]]/20,0),"")</f>
        <v>3</v>
      </c>
    </row>
    <row r="117" ht="35.25" customHeight="1" spans="1:20">
      <c r="A117" s="11">
        <f>SUBTOTAL(3,C$1:C116)</f>
        <v>116</v>
      </c>
      <c r="B117" s="28" t="s">
        <v>470</v>
      </c>
      <c r="C117" s="7" t="s">
        <v>471</v>
      </c>
      <c r="D117" s="16" t="s">
        <v>472</v>
      </c>
      <c r="E117" s="17" t="s">
        <v>473</v>
      </c>
      <c r="F117" s="10" t="s">
        <v>424</v>
      </c>
      <c r="G117" s="10"/>
      <c r="H117" s="10" t="s">
        <v>24</v>
      </c>
      <c r="I117" s="15">
        <f>VLOOKUP(Таблица2[[#This Row],[канал сбыта]],справочники!A:D,4,0)</f>
        <v>3</v>
      </c>
      <c r="J117" s="23">
        <f>VLOOKUP(Таблица2[[#This Row],[канал сбыта]],справочники!A:E,5,0)</f>
        <v>0.00347222222222222</v>
      </c>
      <c r="K117" s="24">
        <f>VLOOKUP(Таблица2[[#This Row],[канал сбыта]],справочники!A:E,2,0)</f>
        <v>0.333333333333333</v>
      </c>
      <c r="L117" s="24">
        <f>VLOOKUP(Таблица2[[#This Row],[канал сбыта]],справочники!A:E,3,0)</f>
        <v>0.416666666666667</v>
      </c>
      <c r="M117" s="24">
        <v>0.388888888888889</v>
      </c>
      <c r="N117" s="25"/>
      <c r="O117" s="26">
        <v>686</v>
      </c>
      <c r="P117" s="27">
        <f>IFERROR(Таблица2[[#This Row],[сумма отгрузки текущая]]/40,"")</f>
        <v>17.15</v>
      </c>
      <c r="Q117" s="27">
        <f>IFERROR(ROUNDUP(Таблица2[[#This Row],[кол-во ед. продукции]]/20,0),"")</f>
        <v>1</v>
      </c>
      <c r="R117" s="26">
        <f t="shared" si="2"/>
        <v>754.6</v>
      </c>
      <c r="S117" s="27">
        <f>IFERROR(Таблица2[[#This Row],[сумма отгрузки план]]/40,"")</f>
        <v>18.865</v>
      </c>
      <c r="T117" s="36">
        <f>IFERROR(ROUNDUP(Таблица2[[#This Row],[кол-во продукции план]]/20,0),"")</f>
        <v>1</v>
      </c>
    </row>
    <row r="118" ht="32.25" customHeight="1" spans="1:20">
      <c r="A118" s="11">
        <f>SUBTOTAL(3,C$1:C117)</f>
        <v>117</v>
      </c>
      <c r="B118" s="28" t="s">
        <v>474</v>
      </c>
      <c r="C118" s="7" t="s">
        <v>475</v>
      </c>
      <c r="D118" s="16" t="s">
        <v>476</v>
      </c>
      <c r="E118" s="17" t="s">
        <v>477</v>
      </c>
      <c r="F118" s="10" t="s">
        <v>424</v>
      </c>
      <c r="G118" s="10"/>
      <c r="H118" s="10" t="s">
        <v>24</v>
      </c>
      <c r="I118" s="15">
        <f>VLOOKUP(Таблица2[[#This Row],[канал сбыта]],справочники!A:D,4,0)</f>
        <v>3</v>
      </c>
      <c r="J118" s="23">
        <f>VLOOKUP(Таблица2[[#This Row],[канал сбыта]],справочники!A:E,5,0)</f>
        <v>0.00347222222222222</v>
      </c>
      <c r="K118" s="24">
        <f>VLOOKUP(Таблица2[[#This Row],[канал сбыта]],справочники!A:E,2,0)</f>
        <v>0.333333333333333</v>
      </c>
      <c r="L118" s="24">
        <f>VLOOKUP(Таблица2[[#This Row],[канал сбыта]],справочники!A:E,3,0)</f>
        <v>0.416666666666667</v>
      </c>
      <c r="M118" s="24">
        <v>0.395833333333333</v>
      </c>
      <c r="N118" s="25"/>
      <c r="O118" s="26">
        <v>923</v>
      </c>
      <c r="P118" s="27">
        <f>IFERROR(Таблица2[[#This Row],[сумма отгрузки текущая]]/40,"")</f>
        <v>23.075</v>
      </c>
      <c r="Q118" s="27">
        <f>IFERROR(ROUNDUP(Таблица2[[#This Row],[кол-во ед. продукции]]/20,0),"")</f>
        <v>2</v>
      </c>
      <c r="R118" s="26">
        <f t="shared" si="2"/>
        <v>1015.3</v>
      </c>
      <c r="S118" s="27">
        <f>IFERROR(Таблица2[[#This Row],[сумма отгрузки план]]/40,"")</f>
        <v>25.3825</v>
      </c>
      <c r="T118" s="36">
        <f>IFERROR(ROUNDUP(Таблица2[[#This Row],[кол-во продукции план]]/20,0),"")</f>
        <v>2</v>
      </c>
    </row>
    <row r="119" ht="31.5" customHeight="1" spans="1:20">
      <c r="A119" s="11">
        <f>SUBTOTAL(3,C$1:C118)</f>
        <v>118</v>
      </c>
      <c r="B119" s="28" t="s">
        <v>478</v>
      </c>
      <c r="C119" s="7" t="s">
        <v>479</v>
      </c>
      <c r="D119" s="16" t="s">
        <v>480</v>
      </c>
      <c r="E119" s="17" t="s">
        <v>481</v>
      </c>
      <c r="F119" s="10" t="s">
        <v>424</v>
      </c>
      <c r="G119" s="10"/>
      <c r="H119" s="10" t="s">
        <v>24</v>
      </c>
      <c r="I119" s="15">
        <f>VLOOKUP(Таблица2[[#This Row],[канал сбыта]],справочники!A:D,4,0)</f>
        <v>3</v>
      </c>
      <c r="J119" s="23">
        <f>VLOOKUP(Таблица2[[#This Row],[канал сбыта]],справочники!A:E,5,0)</f>
        <v>0.00347222222222222</v>
      </c>
      <c r="K119" s="24">
        <f>VLOOKUP(Таблица2[[#This Row],[канал сбыта]],справочники!A:E,2,0)</f>
        <v>0.333333333333333</v>
      </c>
      <c r="L119" s="24">
        <f>VLOOKUP(Таблица2[[#This Row],[канал сбыта]],справочники!A:E,3,0)</f>
        <v>0.416666666666667</v>
      </c>
      <c r="M119" s="24">
        <v>0.402777777777778</v>
      </c>
      <c r="N119" s="25"/>
      <c r="O119" s="26">
        <v>1517</v>
      </c>
      <c r="P119" s="27">
        <f>IFERROR(Таблица2[[#This Row],[сумма отгрузки текущая]]/40,"")</f>
        <v>37.925</v>
      </c>
      <c r="Q119" s="27">
        <f>IFERROR(ROUNDUP(Таблица2[[#This Row],[кол-во ед. продукции]]/20,0),"")</f>
        <v>2</v>
      </c>
      <c r="R119" s="26">
        <f t="shared" si="2"/>
        <v>1668.7</v>
      </c>
      <c r="S119" s="27">
        <f>IFERROR(Таблица2[[#This Row],[сумма отгрузки план]]/40,"")</f>
        <v>41.7175</v>
      </c>
      <c r="T119" s="36">
        <f>IFERROR(ROUNDUP(Таблица2[[#This Row],[кол-во продукции план]]/20,0),"")</f>
        <v>3</v>
      </c>
    </row>
    <row r="120" ht="32.25" customHeight="1" spans="1:20">
      <c r="A120" s="11">
        <f>SUBTOTAL(3,C$1:C119)</f>
        <v>119</v>
      </c>
      <c r="B120" s="28" t="s">
        <v>482</v>
      </c>
      <c r="C120" s="7" t="s">
        <v>483</v>
      </c>
      <c r="D120" s="16" t="s">
        <v>484</v>
      </c>
      <c r="E120" s="17" t="s">
        <v>485</v>
      </c>
      <c r="F120" s="10" t="s">
        <v>424</v>
      </c>
      <c r="G120" s="10"/>
      <c r="H120" s="10" t="s">
        <v>55</v>
      </c>
      <c r="I120" s="15">
        <f>VLOOKUP(Таблица2[[#This Row],[канал сбыта]],справочники!A:D,4,0)</f>
        <v>3</v>
      </c>
      <c r="J120" s="23">
        <f>VLOOKUP(Таблица2[[#This Row],[канал сбыта]],справочники!A:E,5,0)</f>
        <v>0.00486111111111111</v>
      </c>
      <c r="K120" s="24">
        <f>VLOOKUP(Таблица2[[#This Row],[канал сбыта]],справочники!A:E,2,0)</f>
        <v>0.333333333333333</v>
      </c>
      <c r="L120" s="24">
        <f>VLOOKUP(Таблица2[[#This Row],[канал сбыта]],справочники!A:E,3,0)</f>
        <v>0.5</v>
      </c>
      <c r="M120" s="24">
        <v>0.409722222222222</v>
      </c>
      <c r="N120" s="25"/>
      <c r="O120" s="26">
        <v>2334</v>
      </c>
      <c r="P120" s="27">
        <f>IFERROR(Таблица2[[#This Row],[сумма отгрузки текущая]]/40,"")</f>
        <v>58.35</v>
      </c>
      <c r="Q120" s="27">
        <f>IFERROR(ROUNDUP(Таблица2[[#This Row],[кол-во ед. продукции]]/20,0),"")</f>
        <v>3</v>
      </c>
      <c r="R120" s="26">
        <f t="shared" si="2"/>
        <v>2567.4</v>
      </c>
      <c r="S120" s="27">
        <f>IFERROR(Таблица2[[#This Row],[сумма отгрузки план]]/40,"")</f>
        <v>64.185</v>
      </c>
      <c r="T120" s="36">
        <f>IFERROR(ROUNDUP(Таблица2[[#This Row],[кол-во продукции план]]/20,0),"")</f>
        <v>4</v>
      </c>
    </row>
    <row r="121" ht="36" customHeight="1" spans="1:20">
      <c r="A121" s="11">
        <f>SUBTOTAL(3,C$1:C120)</f>
        <v>120</v>
      </c>
      <c r="B121" s="28" t="s">
        <v>486</v>
      </c>
      <c r="C121" s="7" t="s">
        <v>487</v>
      </c>
      <c r="D121" s="16" t="s">
        <v>488</v>
      </c>
      <c r="E121" s="17" t="s">
        <v>489</v>
      </c>
      <c r="F121" s="10" t="s">
        <v>424</v>
      </c>
      <c r="G121" s="10"/>
      <c r="H121" s="10" t="s">
        <v>91</v>
      </c>
      <c r="I121" s="15">
        <f>VLOOKUP(Таблица2[[#This Row],[канал сбыта]],справочники!A:D,4,0)</f>
        <v>3</v>
      </c>
      <c r="J121" s="23">
        <f>VLOOKUP(Таблица2[[#This Row],[канал сбыта]],справочники!A:E,5,0)</f>
        <v>0.00486111111111111</v>
      </c>
      <c r="K121" s="24">
        <f>VLOOKUP(Таблица2[[#This Row],[канал сбыта]],справочники!A:E,2,0)</f>
        <v>0.333333333333333</v>
      </c>
      <c r="L121" s="24">
        <f>VLOOKUP(Таблица2[[#This Row],[канал сбыта]],справочники!A:E,3,0)</f>
        <v>0.458333333333333</v>
      </c>
      <c r="M121" s="24">
        <v>0.416666666666667</v>
      </c>
      <c r="N121" s="25"/>
      <c r="O121" s="26">
        <v>4066</v>
      </c>
      <c r="P121" s="27">
        <f>IFERROR(Таблица2[[#This Row],[сумма отгрузки текущая]]/40,"")</f>
        <v>101.65</v>
      </c>
      <c r="Q121" s="27">
        <f>IFERROR(ROUNDUP(Таблица2[[#This Row],[кол-во ед. продукции]]/20,0),"")</f>
        <v>6</v>
      </c>
      <c r="R121" s="26">
        <f t="shared" si="2"/>
        <v>4472.6</v>
      </c>
      <c r="S121" s="27">
        <f>IFERROR(Таблица2[[#This Row],[сумма отгрузки план]]/40,"")</f>
        <v>111.815</v>
      </c>
      <c r="T121" s="36">
        <f>IFERROR(ROUNDUP(Таблица2[[#This Row],[кол-во продукции план]]/20,0),"")</f>
        <v>6</v>
      </c>
    </row>
    <row r="122" ht="32.25" customHeight="1" spans="1:20">
      <c r="A122" s="11">
        <f>SUBTOTAL(3,C$1:C121)</f>
        <v>121</v>
      </c>
      <c r="B122" s="28" t="s">
        <v>490</v>
      </c>
      <c r="C122" s="7" t="s">
        <v>491</v>
      </c>
      <c r="D122" s="16" t="s">
        <v>492</v>
      </c>
      <c r="E122" s="17" t="s">
        <v>493</v>
      </c>
      <c r="F122" s="10" t="s">
        <v>424</v>
      </c>
      <c r="G122" s="10"/>
      <c r="H122" s="10" t="s">
        <v>24</v>
      </c>
      <c r="I122" s="15">
        <f>VLOOKUP(Таблица2[[#This Row],[канал сбыта]],справочники!A:D,4,0)</f>
        <v>3</v>
      </c>
      <c r="J122" s="23">
        <f>VLOOKUP(Таблица2[[#This Row],[канал сбыта]],справочники!A:E,5,0)</f>
        <v>0.00347222222222222</v>
      </c>
      <c r="K122" s="24">
        <f>VLOOKUP(Таблица2[[#This Row],[канал сбыта]],справочники!A:E,2,0)</f>
        <v>0.333333333333333</v>
      </c>
      <c r="L122" s="24">
        <f>VLOOKUP(Таблица2[[#This Row],[канал сбыта]],справочники!A:E,3,0)</f>
        <v>0.416666666666667</v>
      </c>
      <c r="M122" s="24">
        <v>0.423611111111111</v>
      </c>
      <c r="N122" s="25"/>
      <c r="O122" s="26">
        <v>1222</v>
      </c>
      <c r="P122" s="27">
        <f>IFERROR(Таблица2[[#This Row],[сумма отгрузки текущая]]/40,"")</f>
        <v>30.55</v>
      </c>
      <c r="Q122" s="27">
        <f>IFERROR(ROUNDUP(Таблица2[[#This Row],[кол-во ед. продукции]]/20,0),"")</f>
        <v>2</v>
      </c>
      <c r="R122" s="26">
        <f t="shared" si="2"/>
        <v>1344.2</v>
      </c>
      <c r="S122" s="27">
        <f>IFERROR(Таблица2[[#This Row],[сумма отгрузки план]]/40,"")</f>
        <v>33.605</v>
      </c>
      <c r="T122" s="36">
        <f>IFERROR(ROUNDUP(Таблица2[[#This Row],[кол-во продукции план]]/20,0),"")</f>
        <v>2</v>
      </c>
    </row>
    <row r="123" ht="31.5" customHeight="1" spans="1:20">
      <c r="A123" s="11">
        <f>SUBTOTAL(3,C$1:C122)</f>
        <v>122</v>
      </c>
      <c r="B123" s="28">
        <v>551</v>
      </c>
      <c r="C123" s="7" t="s">
        <v>494</v>
      </c>
      <c r="D123" s="16" t="s">
        <v>495</v>
      </c>
      <c r="E123" s="17" t="s">
        <v>496</v>
      </c>
      <c r="F123" s="10" t="s">
        <v>424</v>
      </c>
      <c r="G123" s="10"/>
      <c r="H123" s="10" t="s">
        <v>24</v>
      </c>
      <c r="I123" s="15">
        <f>VLOOKUP(Таблица2[[#This Row],[канал сбыта]],справочники!A:D,4,0)</f>
        <v>3</v>
      </c>
      <c r="J123" s="23">
        <f>VLOOKUP(Таблица2[[#This Row],[канал сбыта]],справочники!A:E,5,0)</f>
        <v>0.00347222222222222</v>
      </c>
      <c r="K123" s="24">
        <f>VLOOKUP(Таблица2[[#This Row],[канал сбыта]],справочники!A:E,2,0)</f>
        <v>0.333333333333333</v>
      </c>
      <c r="L123" s="24">
        <f>VLOOKUP(Таблица2[[#This Row],[канал сбыта]],справочники!A:E,3,0)</f>
        <v>0.416666666666667</v>
      </c>
      <c r="M123" s="24">
        <v>0.430555555555556</v>
      </c>
      <c r="N123" s="25"/>
      <c r="O123" s="26">
        <v>698</v>
      </c>
      <c r="P123" s="27">
        <f>IFERROR(Таблица2[[#This Row],[сумма отгрузки текущая]]/40,"")</f>
        <v>17.45</v>
      </c>
      <c r="Q123" s="27">
        <f>IFERROR(ROUNDUP(Таблица2[[#This Row],[кол-во ед. продукции]]/20,0),"")</f>
        <v>1</v>
      </c>
      <c r="R123" s="26">
        <f t="shared" si="2"/>
        <v>767.8</v>
      </c>
      <c r="S123" s="27">
        <f>IFERROR(Таблица2[[#This Row],[сумма отгрузки план]]/40,"")</f>
        <v>19.195</v>
      </c>
      <c r="T123" s="36">
        <f>IFERROR(ROUNDUP(Таблица2[[#This Row],[кол-во продукции план]]/20,0),"")</f>
        <v>1</v>
      </c>
    </row>
    <row r="124" ht="30.75" customHeight="1" spans="1:20">
      <c r="A124" s="11">
        <f>SUBTOTAL(3,C$1:C123)</f>
        <v>123</v>
      </c>
      <c r="B124" s="28" t="s">
        <v>497</v>
      </c>
      <c r="C124" s="7" t="s">
        <v>498</v>
      </c>
      <c r="D124" s="16" t="s">
        <v>499</v>
      </c>
      <c r="E124" s="17" t="s">
        <v>500</v>
      </c>
      <c r="F124" s="10" t="s">
        <v>424</v>
      </c>
      <c r="G124" s="10"/>
      <c r="H124" s="10" t="s">
        <v>501</v>
      </c>
      <c r="I124" s="15">
        <f>VLOOKUP(Таблица2[[#This Row],[канал сбыта]],справочники!A:D,4,0)</f>
        <v>2</v>
      </c>
      <c r="J124" s="23">
        <f>VLOOKUP(Таблица2[[#This Row],[канал сбыта]],справочники!A:E,5,0)</f>
        <v>0.0138888888888889</v>
      </c>
      <c r="K124" s="24">
        <f>VLOOKUP(Таблица2[[#This Row],[канал сбыта]],справочники!A:E,2,0)</f>
        <v>0.333333333333333</v>
      </c>
      <c r="L124" s="24">
        <f>VLOOKUP(Таблица2[[#This Row],[канал сбыта]],справочники!A:E,3,0)</f>
        <v>0.375</v>
      </c>
      <c r="M124" s="24">
        <v>0.291666666666667</v>
      </c>
      <c r="N124" s="25"/>
      <c r="O124" s="26">
        <v>11131</v>
      </c>
      <c r="P124" s="27">
        <f>IFERROR(Таблица2[[#This Row],[сумма отгрузки текущая]]/40,"")</f>
        <v>278.275</v>
      </c>
      <c r="Q124" s="27">
        <f>IFERROR(ROUNDUP(Таблица2[[#This Row],[кол-во ед. продукции]]/20,0),"")</f>
        <v>14</v>
      </c>
      <c r="R124" s="26">
        <f t="shared" si="2"/>
        <v>12244.1</v>
      </c>
      <c r="S124" s="27">
        <f>IFERROR(Таблица2[[#This Row],[сумма отгрузки план]]/40,"")</f>
        <v>306.1025</v>
      </c>
      <c r="T124" s="36">
        <f>IFERROR(ROUNDUP(Таблица2[[#This Row],[кол-во продукции план]]/20,0),"")</f>
        <v>16</v>
      </c>
    </row>
    <row r="125" ht="36" customHeight="1" spans="1:20">
      <c r="A125" s="11">
        <f>SUBTOTAL(3,C$1:C124)</f>
        <v>124</v>
      </c>
      <c r="B125" s="28" t="s">
        <v>502</v>
      </c>
      <c r="C125" s="7" t="s">
        <v>503</v>
      </c>
      <c r="D125" s="16" t="s">
        <v>504</v>
      </c>
      <c r="E125" s="17" t="s">
        <v>505</v>
      </c>
      <c r="F125" s="10" t="s">
        <v>424</v>
      </c>
      <c r="G125" s="10"/>
      <c r="H125" s="10" t="s">
        <v>108</v>
      </c>
      <c r="I125" s="15">
        <f>VLOOKUP(Таблица2[[#This Row],[канал сбыта]],справочники!A:D,4,0)</f>
        <v>3</v>
      </c>
      <c r="J125" s="23">
        <f>VLOOKUP(Таблица2[[#This Row],[канал сбыта]],справочники!A:E,5,0)</f>
        <v>0.00486111111111111</v>
      </c>
      <c r="K125" s="24">
        <f>VLOOKUP(Таблица2[[#This Row],[канал сбыта]],справочники!A:E,2,0)</f>
        <v>0.375</v>
      </c>
      <c r="L125" s="24">
        <f>VLOOKUP(Таблица2[[#This Row],[канал сбыта]],справочники!A:E,3,0)</f>
        <v>0.520833333333333</v>
      </c>
      <c r="M125" s="24">
        <v>0.444444444444444</v>
      </c>
      <c r="N125" s="25"/>
      <c r="O125" s="26">
        <v>971</v>
      </c>
      <c r="P125" s="27">
        <f>IFERROR(Таблица2[[#This Row],[сумма отгрузки текущая]]/40,"")</f>
        <v>24.275</v>
      </c>
      <c r="Q125" s="27">
        <f>IFERROR(ROUNDUP(Таблица2[[#This Row],[кол-во ед. продукции]]/20,0),"")</f>
        <v>2</v>
      </c>
      <c r="R125" s="26">
        <f t="shared" si="2"/>
        <v>1068.1</v>
      </c>
      <c r="S125" s="27">
        <f>IFERROR(Таблица2[[#This Row],[сумма отгрузки план]]/40,"")</f>
        <v>26.7025</v>
      </c>
      <c r="T125" s="36">
        <f>IFERROR(ROUNDUP(Таблица2[[#This Row],[кол-во продукции план]]/20,0),"")</f>
        <v>2</v>
      </c>
    </row>
    <row r="126" ht="34.5" customHeight="1" spans="1:20">
      <c r="A126" s="11">
        <f>SUBTOTAL(3,C$1:C125)</f>
        <v>125</v>
      </c>
      <c r="B126" s="28" t="s">
        <v>506</v>
      </c>
      <c r="C126" s="19" t="s">
        <v>507</v>
      </c>
      <c r="D126" s="20" t="s">
        <v>426</v>
      </c>
      <c r="E126" s="17" t="s">
        <v>427</v>
      </c>
      <c r="F126" s="10" t="s">
        <v>424</v>
      </c>
      <c r="G126" s="10"/>
      <c r="H126" s="10" t="s">
        <v>24</v>
      </c>
      <c r="I126" s="15">
        <f>VLOOKUP(Таблица2[[#This Row],[канал сбыта]],справочники!A:D,4,0)</f>
        <v>3</v>
      </c>
      <c r="J126" s="23">
        <f>VLOOKUP(Таблица2[[#This Row],[канал сбыта]],справочники!A:E,5,0)</f>
        <v>0.00347222222222222</v>
      </c>
      <c r="K126" s="24">
        <f>VLOOKUP(Таблица2[[#This Row],[канал сбыта]],справочники!A:E,2,0)</f>
        <v>0.333333333333333</v>
      </c>
      <c r="L126" s="24">
        <f>VLOOKUP(Таблица2[[#This Row],[канал сбыта]],справочники!A:E,3,0)</f>
        <v>0.416666666666667</v>
      </c>
      <c r="M126" s="24">
        <v>0.451388888888889</v>
      </c>
      <c r="N126" s="25"/>
      <c r="O126" s="26">
        <v>265</v>
      </c>
      <c r="P126" s="27">
        <f>IFERROR(Таблица2[[#This Row],[сумма отгрузки текущая]]/40,"")</f>
        <v>6.625</v>
      </c>
      <c r="Q126" s="27">
        <f>IFERROR(ROUNDUP(Таблица2[[#This Row],[кол-во ед. продукции]]/20,0),"")</f>
        <v>1</v>
      </c>
      <c r="R126" s="26">
        <f t="shared" ref="R126:R138" si="3">O126*IF(ABS((N126-M126)*1440)&gt;180,IF((N126-M126)*1440&gt;0,0.85,1.1),IF(ABS((N126-M126)*1440)&gt;120,IF((N126-M126)*1440&gt;0,0.93,1.07),IF(ABS((N126-M126)*1440)&gt;60,IF((N126-M126)*1440&gt;0,0.97,1.03),1)))</f>
        <v>291.5</v>
      </c>
      <c r="S126" s="27">
        <f>IFERROR(Таблица2[[#This Row],[сумма отгрузки план]]/40,"")</f>
        <v>7.2875</v>
      </c>
      <c r="T126" s="36">
        <f>IFERROR(ROUNDUP(Таблица2[[#This Row],[кол-во продукции план]]/20,0),"")</f>
        <v>1</v>
      </c>
    </row>
    <row r="127" ht="30.75" customHeight="1" spans="1:20">
      <c r="A127" s="11">
        <f>SUBTOTAL(3,C$1:C126)</f>
        <v>126</v>
      </c>
      <c r="B127" s="15" t="s">
        <v>508</v>
      </c>
      <c r="C127" s="7" t="s">
        <v>509</v>
      </c>
      <c r="D127" s="16" t="s">
        <v>510</v>
      </c>
      <c r="E127" s="17" t="s">
        <v>511</v>
      </c>
      <c r="F127" s="10" t="s">
        <v>512</v>
      </c>
      <c r="G127" s="10"/>
      <c r="H127" s="10" t="s">
        <v>55</v>
      </c>
      <c r="I127" s="15">
        <f>VLOOKUP(Таблица2[[#This Row],[канал сбыта]],справочники!A:D,4,0)</f>
        <v>3</v>
      </c>
      <c r="J127" s="23">
        <f>VLOOKUP(Таблица2[[#This Row],[канал сбыта]],справочники!A:E,5,0)</f>
        <v>0.00486111111111111</v>
      </c>
      <c r="K127" s="24">
        <f>VLOOKUP(Таблица2[[#This Row],[канал сбыта]],справочники!A:E,2,0)</f>
        <v>0.333333333333333</v>
      </c>
      <c r="L127" s="24">
        <f>VLOOKUP(Таблица2[[#This Row],[канал сбыта]],справочники!A:E,3,0)</f>
        <v>0.5</v>
      </c>
      <c r="M127" s="24">
        <v>0.25</v>
      </c>
      <c r="N127" s="25"/>
      <c r="O127" s="26">
        <v>18015</v>
      </c>
      <c r="P127" s="27">
        <f>IFERROR(Таблица2[[#This Row],[сумма отгрузки текущая]]/40,"")</f>
        <v>450.375</v>
      </c>
      <c r="Q127" s="27">
        <f>IFERROR(ROUNDUP(Таблица2[[#This Row],[кол-во ед. продукции]]/20,0),"")</f>
        <v>23</v>
      </c>
      <c r="R127" s="26">
        <f t="shared" si="3"/>
        <v>19816.5</v>
      </c>
      <c r="S127" s="27">
        <f>IFERROR(Таблица2[[#This Row],[сумма отгрузки план]]/40,"")</f>
        <v>495.4125</v>
      </c>
      <c r="T127" s="36">
        <f>IFERROR(ROUNDUP(Таблица2[[#This Row],[кол-во продукции план]]/20,0),"")</f>
        <v>25</v>
      </c>
    </row>
    <row r="128" ht="30" customHeight="1" spans="1:20">
      <c r="A128" s="11">
        <f>SUBTOTAL(3,C$1:C127)</f>
        <v>127</v>
      </c>
      <c r="B128" s="15" t="s">
        <v>513</v>
      </c>
      <c r="C128" s="7" t="s">
        <v>514</v>
      </c>
      <c r="D128" s="16" t="s">
        <v>515</v>
      </c>
      <c r="E128" s="17" t="s">
        <v>516</v>
      </c>
      <c r="F128" s="10" t="s">
        <v>512</v>
      </c>
      <c r="G128" s="10"/>
      <c r="H128" s="10" t="s">
        <v>35</v>
      </c>
      <c r="I128" s="15">
        <f>VLOOKUP(Таблица2[[#This Row],[канал сбыта]],справочники!A:D,4,0)</f>
        <v>1</v>
      </c>
      <c r="J128" s="23">
        <f>VLOOKUP(Таблица2[[#This Row],[канал сбыта]],справочники!A:E,5,0)</f>
        <v>0.00486111111111111</v>
      </c>
      <c r="K128" s="24">
        <f>VLOOKUP(Таблица2[[#This Row],[канал сбыта]],справочники!A:E,2,0)</f>
        <v>0.208333333333333</v>
      </c>
      <c r="L128" s="24">
        <f>VLOOKUP(Таблица2[[#This Row],[канал сбыта]],справочники!A:E,3,0)</f>
        <v>0.333333333333333</v>
      </c>
      <c r="M128" s="24">
        <v>0.263888888888889</v>
      </c>
      <c r="N128" s="25"/>
      <c r="O128" s="26">
        <v>961</v>
      </c>
      <c r="P128" s="27">
        <f>IFERROR(Таблица2[[#This Row],[сумма отгрузки текущая]]/40,"")</f>
        <v>24.025</v>
      </c>
      <c r="Q128" s="27">
        <f>IFERROR(ROUNDUP(Таблица2[[#This Row],[кол-во ед. продукции]]/20,0),"")</f>
        <v>2</v>
      </c>
      <c r="R128" s="26">
        <f t="shared" si="3"/>
        <v>1057.1</v>
      </c>
      <c r="S128" s="27">
        <f>IFERROR(Таблица2[[#This Row],[сумма отгрузки план]]/40,"")</f>
        <v>26.4275</v>
      </c>
      <c r="T128" s="36">
        <f>IFERROR(ROUNDUP(Таблица2[[#This Row],[кол-во продукции план]]/20,0),"")</f>
        <v>2</v>
      </c>
    </row>
    <row r="129" ht="28.5" customHeight="1" spans="1:20">
      <c r="A129" s="11">
        <f>SUBTOTAL(3,C$1:C128)</f>
        <v>128</v>
      </c>
      <c r="B129" s="15" t="s">
        <v>517</v>
      </c>
      <c r="C129" s="7" t="s">
        <v>518</v>
      </c>
      <c r="D129" s="16" t="s">
        <v>519</v>
      </c>
      <c r="E129" s="17" t="s">
        <v>520</v>
      </c>
      <c r="F129" s="10" t="s">
        <v>512</v>
      </c>
      <c r="G129" s="10"/>
      <c r="H129" s="10" t="s">
        <v>24</v>
      </c>
      <c r="I129" s="15">
        <f>VLOOKUP(Таблица2[[#This Row],[канал сбыта]],справочники!A:D,4,0)</f>
        <v>3</v>
      </c>
      <c r="J129" s="23">
        <f>VLOOKUP(Таблица2[[#This Row],[канал сбыта]],справочники!A:E,5,0)</f>
        <v>0.00347222222222222</v>
      </c>
      <c r="K129" s="24">
        <f>VLOOKUP(Таблица2[[#This Row],[канал сбыта]],справочники!A:E,2,0)</f>
        <v>0.333333333333333</v>
      </c>
      <c r="L129" s="24">
        <f>VLOOKUP(Таблица2[[#This Row],[канал сбыта]],справочники!A:E,3,0)</f>
        <v>0.416666666666667</v>
      </c>
      <c r="M129" s="24">
        <v>0.270833333333333</v>
      </c>
      <c r="N129" s="25"/>
      <c r="O129" s="26">
        <v>3457</v>
      </c>
      <c r="P129" s="27">
        <f>IFERROR(Таблица2[[#This Row],[сумма отгрузки текущая]]/40,"")</f>
        <v>86.425</v>
      </c>
      <c r="Q129" s="27">
        <f>IFERROR(ROUNDUP(Таблица2[[#This Row],[кол-во ед. продукции]]/20,0),"")</f>
        <v>5</v>
      </c>
      <c r="R129" s="26">
        <f t="shared" si="3"/>
        <v>3802.7</v>
      </c>
      <c r="S129" s="27">
        <f>IFERROR(Таблица2[[#This Row],[сумма отгрузки план]]/40,"")</f>
        <v>95.0675</v>
      </c>
      <c r="T129" s="36">
        <f>IFERROR(ROUNDUP(Таблица2[[#This Row],[кол-во продукции план]]/20,0),"")</f>
        <v>5</v>
      </c>
    </row>
    <row r="130" ht="28.5" customHeight="1" spans="1:20">
      <c r="A130" s="11">
        <f>SUBTOTAL(3,C$1:C129)</f>
        <v>129</v>
      </c>
      <c r="B130" s="15" t="s">
        <v>521</v>
      </c>
      <c r="C130" s="7" t="s">
        <v>522</v>
      </c>
      <c r="D130" s="16" t="s">
        <v>523</v>
      </c>
      <c r="E130" s="17" t="s">
        <v>524</v>
      </c>
      <c r="F130" s="10" t="s">
        <v>512</v>
      </c>
      <c r="G130" s="10"/>
      <c r="H130" s="10" t="s">
        <v>24</v>
      </c>
      <c r="I130" s="15">
        <f>VLOOKUP(Таблица2[[#This Row],[канал сбыта]],справочники!A:D,4,0)</f>
        <v>3</v>
      </c>
      <c r="J130" s="23">
        <f>VLOOKUP(Таблица2[[#This Row],[канал сбыта]],справочники!A:E,5,0)</f>
        <v>0.00347222222222222</v>
      </c>
      <c r="K130" s="24">
        <f>VLOOKUP(Таблица2[[#This Row],[канал сбыта]],справочники!A:E,2,0)</f>
        <v>0.333333333333333</v>
      </c>
      <c r="L130" s="24">
        <f>VLOOKUP(Таблица2[[#This Row],[канал сбыта]],справочники!A:E,3,0)</f>
        <v>0.416666666666667</v>
      </c>
      <c r="M130" s="24">
        <v>0.28125</v>
      </c>
      <c r="N130" s="25"/>
      <c r="O130" s="26">
        <v>938</v>
      </c>
      <c r="P130" s="27">
        <f>IFERROR(Таблица2[[#This Row],[сумма отгрузки текущая]]/40,"")</f>
        <v>23.45</v>
      </c>
      <c r="Q130" s="27">
        <f>IFERROR(ROUNDUP(Таблица2[[#This Row],[кол-во ед. продукции]]/20,0),"")</f>
        <v>2</v>
      </c>
      <c r="R130" s="26">
        <f t="shared" si="3"/>
        <v>1031.8</v>
      </c>
      <c r="S130" s="27">
        <f>IFERROR(Таблица2[[#This Row],[сумма отгрузки план]]/40,"")</f>
        <v>25.795</v>
      </c>
      <c r="T130" s="36">
        <f>IFERROR(ROUNDUP(Таблица2[[#This Row],[кол-во продукции план]]/20,0),"")</f>
        <v>2</v>
      </c>
    </row>
    <row r="131" ht="24.75" customHeight="1" spans="1:20">
      <c r="A131" s="11">
        <f>SUBTOTAL(3,C$1:C130)</f>
        <v>130</v>
      </c>
      <c r="B131" s="15" t="s">
        <v>525</v>
      </c>
      <c r="C131" s="7" t="s">
        <v>526</v>
      </c>
      <c r="D131" s="16" t="s">
        <v>527</v>
      </c>
      <c r="E131" s="17" t="s">
        <v>528</v>
      </c>
      <c r="F131" s="10" t="s">
        <v>512</v>
      </c>
      <c r="G131" s="10"/>
      <c r="H131" s="10" t="s">
        <v>24</v>
      </c>
      <c r="I131" s="15">
        <f>VLOOKUP(Таблица2[[#This Row],[канал сбыта]],справочники!A:D,4,0)</f>
        <v>3</v>
      </c>
      <c r="J131" s="23">
        <f>VLOOKUP(Таблица2[[#This Row],[канал сбыта]],справочники!A:E,5,0)</f>
        <v>0.00347222222222222</v>
      </c>
      <c r="K131" s="24">
        <f>VLOOKUP(Таблица2[[#This Row],[канал сбыта]],справочники!A:E,2,0)</f>
        <v>0.333333333333333</v>
      </c>
      <c r="L131" s="24">
        <f>VLOOKUP(Таблица2[[#This Row],[канал сбыта]],справочники!A:E,3,0)</f>
        <v>0.416666666666667</v>
      </c>
      <c r="M131" s="24">
        <v>0.291666666666667</v>
      </c>
      <c r="N131" s="25"/>
      <c r="O131" s="26">
        <v>634</v>
      </c>
      <c r="P131" s="27">
        <f>IFERROR(Таблица2[[#This Row],[сумма отгрузки текущая]]/40,"")</f>
        <v>15.85</v>
      </c>
      <c r="Q131" s="27">
        <f>IFERROR(ROUNDUP(Таблица2[[#This Row],[кол-во ед. продукции]]/20,0),"")</f>
        <v>1</v>
      </c>
      <c r="R131" s="26">
        <f t="shared" si="3"/>
        <v>697.4</v>
      </c>
      <c r="S131" s="27">
        <f>IFERROR(Таблица2[[#This Row],[сумма отгрузки план]]/40,"")</f>
        <v>17.435</v>
      </c>
      <c r="T131" s="36">
        <f>IFERROR(ROUNDUP(Таблица2[[#This Row],[кол-во продукции план]]/20,0),"")</f>
        <v>1</v>
      </c>
    </row>
    <row r="132" ht="28.5" customHeight="1" spans="1:20">
      <c r="A132" s="11">
        <f>SUBTOTAL(3,C$1:C131)</f>
        <v>131</v>
      </c>
      <c r="B132" s="15" t="s">
        <v>529</v>
      </c>
      <c r="C132" s="7" t="s">
        <v>530</v>
      </c>
      <c r="D132" s="16" t="s">
        <v>531</v>
      </c>
      <c r="E132" s="16" t="s">
        <v>532</v>
      </c>
      <c r="F132" s="10" t="s">
        <v>512</v>
      </c>
      <c r="G132" s="10"/>
      <c r="H132" s="10" t="s">
        <v>24</v>
      </c>
      <c r="I132" s="15">
        <f>VLOOKUP(Таблица2[[#This Row],[канал сбыта]],справочники!A:D,4,0)</f>
        <v>3</v>
      </c>
      <c r="J132" s="23">
        <f>VLOOKUP(Таблица2[[#This Row],[канал сбыта]],справочники!A:E,5,0)</f>
        <v>0.00347222222222222</v>
      </c>
      <c r="K132" s="24">
        <f>VLOOKUP(Таблица2[[#This Row],[канал сбыта]],справочники!A:E,2,0)</f>
        <v>0.333333333333333</v>
      </c>
      <c r="L132" s="24">
        <f>VLOOKUP(Таблица2[[#This Row],[канал сбыта]],справочники!A:E,3,0)</f>
        <v>0.416666666666667</v>
      </c>
      <c r="M132" s="24">
        <v>0.302083333333333</v>
      </c>
      <c r="N132" s="25"/>
      <c r="O132" s="26">
        <v>190</v>
      </c>
      <c r="P132" s="27">
        <f>IFERROR(Таблица2[[#This Row],[сумма отгрузки текущая]]/40,"")</f>
        <v>4.75</v>
      </c>
      <c r="Q132" s="27">
        <f>IFERROR(ROUNDUP(Таблица2[[#This Row],[кол-во ед. продукции]]/20,0),"")</f>
        <v>1</v>
      </c>
      <c r="R132" s="26">
        <f t="shared" si="3"/>
        <v>209</v>
      </c>
      <c r="S132" s="27">
        <f>IFERROR(Таблица2[[#This Row],[сумма отгрузки план]]/40,"")</f>
        <v>5.225</v>
      </c>
      <c r="T132" s="36">
        <f>IFERROR(ROUNDUP(Таблица2[[#This Row],[кол-во продукции план]]/20,0),"")</f>
        <v>1</v>
      </c>
    </row>
    <row r="133" ht="27" customHeight="1" spans="1:20">
      <c r="A133" s="11">
        <f>SUBTOTAL(3,C$1:C132)</f>
        <v>132</v>
      </c>
      <c r="B133" s="15" t="s">
        <v>533</v>
      </c>
      <c r="C133" s="7" t="s">
        <v>534</v>
      </c>
      <c r="D133" s="16" t="s">
        <v>535</v>
      </c>
      <c r="E133" s="17" t="s">
        <v>536</v>
      </c>
      <c r="F133" s="10" t="s">
        <v>512</v>
      </c>
      <c r="G133" s="10"/>
      <c r="H133" s="10" t="s">
        <v>24</v>
      </c>
      <c r="I133" s="15">
        <f>VLOOKUP(Таблица2[[#This Row],[канал сбыта]],справочники!A:D,4,0)</f>
        <v>3</v>
      </c>
      <c r="J133" s="23">
        <f>VLOOKUP(Таблица2[[#This Row],[канал сбыта]],справочники!A:E,5,0)</f>
        <v>0.00347222222222222</v>
      </c>
      <c r="K133" s="24">
        <f>VLOOKUP(Таблица2[[#This Row],[канал сбыта]],справочники!A:E,2,0)</f>
        <v>0.333333333333333</v>
      </c>
      <c r="L133" s="24">
        <f>VLOOKUP(Таблица2[[#This Row],[канал сбыта]],справочники!A:E,3,0)</f>
        <v>0.416666666666667</v>
      </c>
      <c r="M133" s="24">
        <v>0.3125</v>
      </c>
      <c r="N133" s="25"/>
      <c r="O133" s="26">
        <v>1550</v>
      </c>
      <c r="P133" s="27">
        <f>IFERROR(Таблица2[[#This Row],[сумма отгрузки текущая]]/40,"")</f>
        <v>38.75</v>
      </c>
      <c r="Q133" s="27">
        <f>IFERROR(ROUNDUP(Таблица2[[#This Row],[кол-во ед. продукции]]/20,0),"")</f>
        <v>2</v>
      </c>
      <c r="R133" s="26">
        <f t="shared" si="3"/>
        <v>1705</v>
      </c>
      <c r="S133" s="27">
        <f>IFERROR(Таблица2[[#This Row],[сумма отгрузки план]]/40,"")</f>
        <v>42.625</v>
      </c>
      <c r="T133" s="36">
        <f>IFERROR(ROUNDUP(Таблица2[[#This Row],[кол-во продукции план]]/20,0),"")</f>
        <v>3</v>
      </c>
    </row>
    <row r="134" ht="26.25" customHeight="1" spans="1:20">
      <c r="A134" s="11">
        <f>SUBTOTAL(3,C$1:C133)</f>
        <v>133</v>
      </c>
      <c r="B134" s="15">
        <v>707</v>
      </c>
      <c r="C134" s="7" t="s">
        <v>537</v>
      </c>
      <c r="D134" s="16" t="s">
        <v>538</v>
      </c>
      <c r="E134" s="17" t="s">
        <v>539</v>
      </c>
      <c r="F134" s="10" t="s">
        <v>512</v>
      </c>
      <c r="G134" s="10"/>
      <c r="H134" s="10" t="s">
        <v>24</v>
      </c>
      <c r="I134" s="15">
        <f>VLOOKUP(Таблица2[[#This Row],[канал сбыта]],справочники!A:D,4,0)</f>
        <v>3</v>
      </c>
      <c r="J134" s="23">
        <f>VLOOKUP(Таблица2[[#This Row],[канал сбыта]],справочники!A:E,5,0)</f>
        <v>0.00347222222222222</v>
      </c>
      <c r="K134" s="24">
        <f>VLOOKUP(Таблица2[[#This Row],[канал сбыта]],справочники!A:E,2,0)</f>
        <v>0.333333333333333</v>
      </c>
      <c r="L134" s="24">
        <f>VLOOKUP(Таблица2[[#This Row],[канал сбыта]],справочники!A:E,3,0)</f>
        <v>0.416666666666667</v>
      </c>
      <c r="M134" s="24">
        <v>0.322916666666667</v>
      </c>
      <c r="N134" s="25"/>
      <c r="O134" s="26">
        <v>506</v>
      </c>
      <c r="P134" s="27">
        <f>IFERROR(Таблица2[[#This Row],[сумма отгрузки текущая]]/40,"")</f>
        <v>12.65</v>
      </c>
      <c r="Q134" s="27">
        <f>IFERROR(ROUNDUP(Таблица2[[#This Row],[кол-во ед. продукции]]/20,0),"")</f>
        <v>1</v>
      </c>
      <c r="R134" s="26">
        <f t="shared" si="3"/>
        <v>556.6</v>
      </c>
      <c r="S134" s="27">
        <f>IFERROR(Таблица2[[#This Row],[сумма отгрузки план]]/40,"")</f>
        <v>13.915</v>
      </c>
      <c r="T134" s="36">
        <f>IFERROR(ROUNDUP(Таблица2[[#This Row],[кол-во продукции план]]/20,0),"")</f>
        <v>1</v>
      </c>
    </row>
    <row r="135" ht="25.5" customHeight="1" spans="1:20">
      <c r="A135" s="11">
        <f>SUBTOTAL(3,C$1:C134)</f>
        <v>134</v>
      </c>
      <c r="B135" s="15" t="s">
        <v>540</v>
      </c>
      <c r="C135" s="7" t="s">
        <v>541</v>
      </c>
      <c r="D135" s="16" t="s">
        <v>542</v>
      </c>
      <c r="E135" s="17" t="s">
        <v>543</v>
      </c>
      <c r="F135" s="10" t="s">
        <v>512</v>
      </c>
      <c r="G135" s="10"/>
      <c r="H135" s="10" t="s">
        <v>24</v>
      </c>
      <c r="I135" s="15">
        <f>VLOOKUP(Таблица2[[#This Row],[канал сбыта]],справочники!A:D,4,0)</f>
        <v>3</v>
      </c>
      <c r="J135" s="23">
        <f>VLOOKUP(Таблица2[[#This Row],[канал сбыта]],справочники!A:E,5,0)</f>
        <v>0.00347222222222222</v>
      </c>
      <c r="K135" s="24">
        <f>VLOOKUP(Таблица2[[#This Row],[канал сбыта]],справочники!A:E,2,0)</f>
        <v>0.333333333333333</v>
      </c>
      <c r="L135" s="24">
        <f>VLOOKUP(Таблица2[[#This Row],[канал сбыта]],справочники!A:E,3,0)</f>
        <v>0.416666666666667</v>
      </c>
      <c r="M135" s="24">
        <v>0.333333333333333</v>
      </c>
      <c r="N135" s="25"/>
      <c r="O135" s="26">
        <v>2862</v>
      </c>
      <c r="P135" s="27">
        <f>IFERROR(Таблица2[[#This Row],[сумма отгрузки текущая]]/40,"")</f>
        <v>71.55</v>
      </c>
      <c r="Q135" s="27">
        <f>IFERROR(ROUNDUP(Таблица2[[#This Row],[кол-во ед. продукции]]/20,0),"")</f>
        <v>4</v>
      </c>
      <c r="R135" s="26">
        <f t="shared" si="3"/>
        <v>3148.2</v>
      </c>
      <c r="S135" s="27">
        <f>IFERROR(Таблица2[[#This Row],[сумма отгрузки план]]/40,"")</f>
        <v>78.705</v>
      </c>
      <c r="T135" s="36">
        <f>IFERROR(ROUNDUP(Таблица2[[#This Row],[кол-во продукции план]]/20,0),"")</f>
        <v>4</v>
      </c>
    </row>
    <row r="136" ht="27" customHeight="1" spans="1:20">
      <c r="A136" s="11">
        <f>SUBTOTAL(3,C$1:C135)</f>
        <v>135</v>
      </c>
      <c r="B136" s="15" t="s">
        <v>544</v>
      </c>
      <c r="C136" s="7" t="s">
        <v>545</v>
      </c>
      <c r="D136" s="16" t="s">
        <v>546</v>
      </c>
      <c r="E136" s="17" t="s">
        <v>547</v>
      </c>
      <c r="F136" s="10" t="s">
        <v>512</v>
      </c>
      <c r="G136" s="10"/>
      <c r="H136" s="10" t="s">
        <v>24</v>
      </c>
      <c r="I136" s="15">
        <f>VLOOKUP(Таблица2[[#This Row],[канал сбыта]],справочники!A:D,4,0)</f>
        <v>3</v>
      </c>
      <c r="J136" s="23">
        <f>VLOOKUP(Таблица2[[#This Row],[канал сбыта]],справочники!A:E,5,0)</f>
        <v>0.00347222222222222</v>
      </c>
      <c r="K136" s="24">
        <f>VLOOKUP(Таблица2[[#This Row],[канал сбыта]],справочники!A:E,2,0)</f>
        <v>0.333333333333333</v>
      </c>
      <c r="L136" s="24">
        <f>VLOOKUP(Таблица2[[#This Row],[канал сбыта]],справочники!A:E,3,0)</f>
        <v>0.416666666666667</v>
      </c>
      <c r="M136" s="24">
        <v>0.340277777777778</v>
      </c>
      <c r="N136" s="25"/>
      <c r="O136" s="26">
        <v>1093</v>
      </c>
      <c r="P136" s="27">
        <f>IFERROR(Таблица2[[#This Row],[сумма отгрузки текущая]]/40,"")</f>
        <v>27.325</v>
      </c>
      <c r="Q136" s="27">
        <f>IFERROR(ROUNDUP(Таблица2[[#This Row],[кол-во ед. продукции]]/20,0),"")</f>
        <v>2</v>
      </c>
      <c r="R136" s="26">
        <f t="shared" si="3"/>
        <v>1202.3</v>
      </c>
      <c r="S136" s="27">
        <f>IFERROR(Таблица2[[#This Row],[сумма отгрузки план]]/40,"")</f>
        <v>30.0575</v>
      </c>
      <c r="T136" s="36">
        <f>IFERROR(ROUNDUP(Таблица2[[#This Row],[кол-во продукции план]]/20,0),"")</f>
        <v>2</v>
      </c>
    </row>
    <row r="137" ht="28.5" customHeight="1" spans="1:20">
      <c r="A137" s="11">
        <f>SUBTOTAL(3,C$1:C136)</f>
        <v>136</v>
      </c>
      <c r="B137" s="15">
        <v>1680</v>
      </c>
      <c r="C137" s="7" t="s">
        <v>548</v>
      </c>
      <c r="D137" s="16" t="s">
        <v>549</v>
      </c>
      <c r="E137" s="17" t="s">
        <v>550</v>
      </c>
      <c r="F137" s="10" t="s">
        <v>512</v>
      </c>
      <c r="G137" s="10"/>
      <c r="H137" s="10" t="s">
        <v>24</v>
      </c>
      <c r="I137" s="15">
        <f>VLOOKUP(Таблица2[[#This Row],[канал сбыта]],справочники!A:D,4,0)</f>
        <v>3</v>
      </c>
      <c r="J137" s="23">
        <f>VLOOKUP(Таблица2[[#This Row],[канал сбыта]],справочники!A:E,5,0)</f>
        <v>0.00347222222222222</v>
      </c>
      <c r="K137" s="24">
        <f>VLOOKUP(Таблица2[[#This Row],[канал сбыта]],справочники!A:E,2,0)</f>
        <v>0.333333333333333</v>
      </c>
      <c r="L137" s="24">
        <f>VLOOKUP(Таблица2[[#This Row],[канал сбыта]],справочники!A:E,3,0)</f>
        <v>0.416666666666667</v>
      </c>
      <c r="M137" s="24">
        <v>0.347222222222222</v>
      </c>
      <c r="N137" s="25"/>
      <c r="O137" s="26">
        <v>1636</v>
      </c>
      <c r="P137" s="27">
        <f>IFERROR(Таблица2[[#This Row],[сумма отгрузки текущая]]/40,"")</f>
        <v>40.9</v>
      </c>
      <c r="Q137" s="27">
        <f>IFERROR(ROUNDUP(Таблица2[[#This Row],[кол-во ед. продукции]]/20,0),"")</f>
        <v>3</v>
      </c>
      <c r="R137" s="26">
        <f t="shared" si="3"/>
        <v>1799.6</v>
      </c>
      <c r="S137" s="27">
        <f>IFERROR(Таблица2[[#This Row],[сумма отгрузки план]]/40,"")</f>
        <v>44.99</v>
      </c>
      <c r="T137" s="36">
        <f>IFERROR(ROUNDUP(Таблица2[[#This Row],[кол-во продукции план]]/20,0),"")</f>
        <v>3</v>
      </c>
    </row>
    <row r="138" ht="27" customHeight="1" spans="1:20">
      <c r="A138" s="11">
        <f>SUBTOTAL(3,C$1:C137)</f>
        <v>137</v>
      </c>
      <c r="B138" s="15">
        <v>1269</v>
      </c>
      <c r="C138" s="7" t="s">
        <v>551</v>
      </c>
      <c r="D138" s="16" t="s">
        <v>552</v>
      </c>
      <c r="E138" s="17" t="s">
        <v>553</v>
      </c>
      <c r="F138" s="10" t="s">
        <v>512</v>
      </c>
      <c r="G138" s="10"/>
      <c r="H138" s="10" t="s">
        <v>55</v>
      </c>
      <c r="I138" s="15">
        <f>VLOOKUP(Таблица2[[#This Row],[канал сбыта]],справочники!A:D,4,0)</f>
        <v>3</v>
      </c>
      <c r="J138" s="23">
        <f>VLOOKUP(Таблица2[[#This Row],[канал сбыта]],справочники!A:E,5,0)</f>
        <v>0.00486111111111111</v>
      </c>
      <c r="K138" s="24">
        <f>VLOOKUP(Таблица2[[#This Row],[канал сбыта]],справочники!A:E,2,0)</f>
        <v>0.333333333333333</v>
      </c>
      <c r="L138" s="24">
        <f>VLOOKUP(Таблица2[[#This Row],[канал сбыта]],справочники!A:E,3,0)</f>
        <v>0.5</v>
      </c>
      <c r="M138" s="24">
        <v>0.354166666666667</v>
      </c>
      <c r="N138" s="25"/>
      <c r="O138" s="26">
        <v>3563</v>
      </c>
      <c r="P138" s="27">
        <f>IFERROR(Таблица2[[#This Row],[сумма отгрузки текущая]]/40,"")</f>
        <v>89.075</v>
      </c>
      <c r="Q138" s="27">
        <f>IFERROR(ROUNDUP(Таблица2[[#This Row],[кол-во ед. продукции]]/20,0),"")</f>
        <v>5</v>
      </c>
      <c r="R138" s="26">
        <f t="shared" si="3"/>
        <v>3919.3</v>
      </c>
      <c r="S138" s="27">
        <f>IFERROR(Таблица2[[#This Row],[сумма отгрузки план]]/40,"")</f>
        <v>97.9825</v>
      </c>
      <c r="T138" s="36">
        <f>IFERROR(ROUNDUP(Таблица2[[#This Row],[кол-во продукции план]]/20,0),"")</f>
        <v>5</v>
      </c>
    </row>
    <row r="139" ht="25.5" customHeight="1" spans="1:20">
      <c r="A139" s="11">
        <f>SUBTOTAL(3,C$1:C138)</f>
        <v>138</v>
      </c>
      <c r="B139" s="15" t="s">
        <v>554</v>
      </c>
      <c r="C139" s="7" t="s">
        <v>555</v>
      </c>
      <c r="D139" s="16" t="s">
        <v>556</v>
      </c>
      <c r="E139" s="17" t="s">
        <v>557</v>
      </c>
      <c r="F139" s="10" t="s">
        <v>512</v>
      </c>
      <c r="G139" s="10"/>
      <c r="H139" s="10" t="s">
        <v>55</v>
      </c>
      <c r="I139" s="15">
        <f>VLOOKUP(Таблица2[[#This Row],[канал сбыта]],справочники!A:D,4,0)</f>
        <v>3</v>
      </c>
      <c r="J139" s="23">
        <f>VLOOKUP(Таблица2[[#This Row],[канал сбыта]],справочники!A:E,5,0)</f>
        <v>0.00486111111111111</v>
      </c>
      <c r="K139" s="24">
        <f>VLOOKUP(Таблица2[[#This Row],[канал сбыта]],справочники!A:E,2,0)</f>
        <v>0.333333333333333</v>
      </c>
      <c r="L139" s="24">
        <f>VLOOKUP(Таблица2[[#This Row],[канал сбыта]],справочники!A:E,3,0)</f>
        <v>0.5</v>
      </c>
      <c r="M139" s="24">
        <v>0.361111111111111</v>
      </c>
      <c r="N139" s="25"/>
      <c r="O139" s="26">
        <v>3709</v>
      </c>
      <c r="P139" s="27">
        <f>IFERROR(Таблица2[[#This Row],[сумма отгрузки текущая]]/40,"")</f>
        <v>92.725</v>
      </c>
      <c r="Q139" s="27">
        <f>IFERROR(ROUNDUP(Таблица2[[#This Row],[кол-во ед. продукции]]/20,0),"")</f>
        <v>5</v>
      </c>
      <c r="R139" s="26">
        <f t="shared" ref="R139:R145" si="4">O139*IF(ABS((N139-M139)*1440)&gt;180,IF((N139-M139)*1440&gt;0,0.85,1.1),IF(ABS((N139-M139)*1440)&gt;120,IF((N139-M139)*1440&gt;0,0.93,1.07),IF(ABS((N139-M139)*1440)&gt;60,IF((N139-M139)*1440&gt;0,0.97,1.03),1)))</f>
        <v>4079.9</v>
      </c>
      <c r="S139" s="27">
        <f>IFERROR(Таблица2[[#This Row],[сумма отгрузки план]]/40,"")</f>
        <v>101.9975</v>
      </c>
      <c r="T139" s="36">
        <f>IFERROR(ROUNDUP(Таблица2[[#This Row],[кол-во продукции план]]/20,0),"")</f>
        <v>6</v>
      </c>
    </row>
    <row r="140" ht="27" customHeight="1" spans="1:20">
      <c r="A140" s="11">
        <f>SUBTOTAL(3,C$1:C139)</f>
        <v>139</v>
      </c>
      <c r="B140" s="15" t="s">
        <v>558</v>
      </c>
      <c r="C140" s="7" t="s">
        <v>559</v>
      </c>
      <c r="D140" s="16" t="s">
        <v>560</v>
      </c>
      <c r="E140" s="17" t="s">
        <v>561</v>
      </c>
      <c r="F140" s="10" t="s">
        <v>512</v>
      </c>
      <c r="G140" s="10"/>
      <c r="H140" s="10" t="s">
        <v>91</v>
      </c>
      <c r="I140" s="15">
        <f>VLOOKUP(Таблица2[[#This Row],[канал сбыта]],справочники!A:D,4,0)</f>
        <v>3</v>
      </c>
      <c r="J140" s="23">
        <f>VLOOKUP(Таблица2[[#This Row],[канал сбыта]],справочники!A:E,5,0)</f>
        <v>0.00486111111111111</v>
      </c>
      <c r="K140" s="24">
        <f>VLOOKUP(Таблица2[[#This Row],[канал сбыта]],справочники!A:E,2,0)</f>
        <v>0.333333333333333</v>
      </c>
      <c r="L140" s="24">
        <f>VLOOKUP(Таблица2[[#This Row],[канал сбыта]],справочники!A:E,3,0)</f>
        <v>0.458333333333333</v>
      </c>
      <c r="M140" s="24">
        <v>0.368055555555556</v>
      </c>
      <c r="N140" s="25"/>
      <c r="O140" s="26">
        <v>1599</v>
      </c>
      <c r="P140" s="27">
        <f>IFERROR(Таблица2[[#This Row],[сумма отгрузки текущая]]/40,"")</f>
        <v>39.975</v>
      </c>
      <c r="Q140" s="27">
        <f>IFERROR(ROUNDUP(Таблица2[[#This Row],[кол-во ед. продукции]]/20,0),"")</f>
        <v>2</v>
      </c>
      <c r="R140" s="26">
        <f t="shared" si="4"/>
        <v>1758.9</v>
      </c>
      <c r="S140" s="27">
        <f>IFERROR(Таблица2[[#This Row],[сумма отгрузки план]]/40,"")</f>
        <v>43.9725</v>
      </c>
      <c r="T140" s="36">
        <f>IFERROR(ROUNDUP(Таблица2[[#This Row],[кол-во продукции план]]/20,0),"")</f>
        <v>3</v>
      </c>
    </row>
    <row r="141" ht="24" customHeight="1" spans="1:20">
      <c r="A141" s="11">
        <f>SUBTOTAL(3,C$1:C140)</f>
        <v>140</v>
      </c>
      <c r="B141" s="15" t="s">
        <v>562</v>
      </c>
      <c r="C141" s="7" t="s">
        <v>563</v>
      </c>
      <c r="D141" s="16" t="s">
        <v>564</v>
      </c>
      <c r="E141" s="17" t="s">
        <v>565</v>
      </c>
      <c r="F141" s="10" t="s">
        <v>512</v>
      </c>
      <c r="G141" s="10"/>
      <c r="H141" s="10" t="s">
        <v>24</v>
      </c>
      <c r="I141" s="15">
        <f>VLOOKUP(Таблица2[[#This Row],[канал сбыта]],справочники!A:D,4,0)</f>
        <v>3</v>
      </c>
      <c r="J141" s="23">
        <f>VLOOKUP(Таблица2[[#This Row],[канал сбыта]],справочники!A:E,5,0)</f>
        <v>0.00347222222222222</v>
      </c>
      <c r="K141" s="24">
        <f>VLOOKUP(Таблица2[[#This Row],[канал сбыта]],справочники!A:E,2,0)</f>
        <v>0.333333333333333</v>
      </c>
      <c r="L141" s="24">
        <f>VLOOKUP(Таблица2[[#This Row],[канал сбыта]],справочники!A:E,3,0)</f>
        <v>0.416666666666667</v>
      </c>
      <c r="M141" s="24">
        <v>0.375</v>
      </c>
      <c r="N141" s="25"/>
      <c r="O141" s="26">
        <v>756</v>
      </c>
      <c r="P141" s="27">
        <f>IFERROR(Таблица2[[#This Row],[сумма отгрузки текущая]]/40,"")</f>
        <v>18.9</v>
      </c>
      <c r="Q141" s="27">
        <f>IFERROR(ROUNDUP(Таблица2[[#This Row],[кол-во ед. продукции]]/20,0),"")</f>
        <v>1</v>
      </c>
      <c r="R141" s="26">
        <f t="shared" si="4"/>
        <v>831.6</v>
      </c>
      <c r="S141" s="27">
        <f>IFERROR(Таблица2[[#This Row],[сумма отгрузки план]]/40,"")</f>
        <v>20.79</v>
      </c>
      <c r="T141" s="36">
        <f>IFERROR(ROUNDUP(Таблица2[[#This Row],[кол-во продукции план]]/20,0),"")</f>
        <v>2</v>
      </c>
    </row>
    <row r="142" ht="22.5" customHeight="1" spans="1:20">
      <c r="A142" s="11">
        <f>SUBTOTAL(3,C$1:C141)</f>
        <v>141</v>
      </c>
      <c r="B142" s="15">
        <v>1106</v>
      </c>
      <c r="C142" s="7" t="s">
        <v>566</v>
      </c>
      <c r="D142" s="16" t="s">
        <v>567</v>
      </c>
      <c r="E142" s="17" t="s">
        <v>568</v>
      </c>
      <c r="F142" s="10" t="s">
        <v>512</v>
      </c>
      <c r="G142" s="10"/>
      <c r="H142" s="10" t="s">
        <v>24</v>
      </c>
      <c r="I142" s="15">
        <f>VLOOKUP(Таблица2[[#This Row],[канал сбыта]],справочники!A:D,4,0)</f>
        <v>3</v>
      </c>
      <c r="J142" s="23">
        <f>VLOOKUP(Таблица2[[#This Row],[канал сбыта]],справочники!A:E,5,0)</f>
        <v>0.00347222222222222</v>
      </c>
      <c r="K142" s="24">
        <f>VLOOKUP(Таблица2[[#This Row],[канал сбыта]],справочники!A:E,2,0)</f>
        <v>0.333333333333333</v>
      </c>
      <c r="L142" s="24">
        <f>VLOOKUP(Таблица2[[#This Row],[канал сбыта]],справочники!A:E,3,0)</f>
        <v>0.416666666666667</v>
      </c>
      <c r="M142" s="24">
        <v>0.381944444444444</v>
      </c>
      <c r="N142" s="25"/>
      <c r="O142" s="26">
        <v>921</v>
      </c>
      <c r="P142" s="27">
        <f>IFERROR(Таблица2[[#This Row],[сумма отгрузки текущая]]/40,"")</f>
        <v>23.025</v>
      </c>
      <c r="Q142" s="27">
        <f>IFERROR(ROUNDUP(Таблица2[[#This Row],[кол-во ед. продукции]]/20,0),"")</f>
        <v>2</v>
      </c>
      <c r="R142" s="26">
        <f t="shared" si="4"/>
        <v>1013.1</v>
      </c>
      <c r="S142" s="27">
        <f>IFERROR(Таблица2[[#This Row],[сумма отгрузки план]]/40,"")</f>
        <v>25.3275</v>
      </c>
      <c r="T142" s="36">
        <f>IFERROR(ROUNDUP(Таблица2[[#This Row],[кол-во продукции план]]/20,0),"")</f>
        <v>2</v>
      </c>
    </row>
    <row r="143" ht="26.25" customHeight="1" spans="1:20">
      <c r="A143" s="11">
        <f>SUBTOTAL(3,C$1:C142)</f>
        <v>142</v>
      </c>
      <c r="B143" s="15" t="s">
        <v>569</v>
      </c>
      <c r="C143" s="7" t="s">
        <v>570</v>
      </c>
      <c r="D143" s="16" t="s">
        <v>571</v>
      </c>
      <c r="E143" s="17" t="s">
        <v>572</v>
      </c>
      <c r="F143" s="10" t="s">
        <v>512</v>
      </c>
      <c r="G143" s="10"/>
      <c r="H143" s="10" t="s">
        <v>91</v>
      </c>
      <c r="I143" s="15">
        <f>VLOOKUP(Таблица2[[#This Row],[канал сбыта]],справочники!A:D,4,0)</f>
        <v>3</v>
      </c>
      <c r="J143" s="23">
        <f>VLOOKUP(Таблица2[[#This Row],[канал сбыта]],справочники!A:E,5,0)</f>
        <v>0.00486111111111111</v>
      </c>
      <c r="K143" s="24">
        <f>VLOOKUP(Таблица2[[#This Row],[канал сбыта]],справочники!A:E,2,0)</f>
        <v>0.333333333333333</v>
      </c>
      <c r="L143" s="24">
        <f>VLOOKUP(Таблица2[[#This Row],[канал сбыта]],справочники!A:E,3,0)</f>
        <v>0.458333333333333</v>
      </c>
      <c r="M143" s="24">
        <v>0.388888888888889</v>
      </c>
      <c r="N143" s="25"/>
      <c r="O143" s="26">
        <v>2930</v>
      </c>
      <c r="P143" s="27">
        <f>IFERROR(Таблица2[[#This Row],[сумма отгрузки текущая]]/40,"")</f>
        <v>73.25</v>
      </c>
      <c r="Q143" s="27">
        <f>IFERROR(ROUNDUP(Таблица2[[#This Row],[кол-во ед. продукции]]/20,0),"")</f>
        <v>4</v>
      </c>
      <c r="R143" s="26">
        <f t="shared" si="4"/>
        <v>3223</v>
      </c>
      <c r="S143" s="27">
        <f>IFERROR(Таблица2[[#This Row],[сумма отгрузки план]]/40,"")</f>
        <v>80.575</v>
      </c>
      <c r="T143" s="36">
        <f>IFERROR(ROUNDUP(Таблица2[[#This Row],[кол-во продукции план]]/20,0),"")</f>
        <v>5</v>
      </c>
    </row>
    <row r="144" ht="24.75" customHeight="1" spans="1:20">
      <c r="A144" s="11">
        <f>SUBTOTAL(3,C$1:C143)</f>
        <v>143</v>
      </c>
      <c r="B144" s="15">
        <v>882</v>
      </c>
      <c r="C144" s="7" t="s">
        <v>573</v>
      </c>
      <c r="D144" s="16" t="s">
        <v>574</v>
      </c>
      <c r="E144" s="17" t="s">
        <v>575</v>
      </c>
      <c r="F144" s="10" t="s">
        <v>512</v>
      </c>
      <c r="G144" s="10"/>
      <c r="H144" s="10" t="s">
        <v>55</v>
      </c>
      <c r="I144" s="15">
        <f>VLOOKUP(Таблица2[[#This Row],[канал сбыта]],справочники!A:D,4,0)</f>
        <v>3</v>
      </c>
      <c r="J144" s="23">
        <f>VLOOKUP(Таблица2[[#This Row],[канал сбыта]],справочники!A:E,5,0)</f>
        <v>0.00486111111111111</v>
      </c>
      <c r="K144" s="24">
        <f>VLOOKUP(Таблица2[[#This Row],[канал сбыта]],справочники!A:E,2,0)</f>
        <v>0.333333333333333</v>
      </c>
      <c r="L144" s="24">
        <f>VLOOKUP(Таблица2[[#This Row],[канал сбыта]],справочники!A:E,3,0)</f>
        <v>0.5</v>
      </c>
      <c r="M144" s="24">
        <v>0.402777777777778</v>
      </c>
      <c r="N144" s="25"/>
      <c r="O144" s="26">
        <v>7471</v>
      </c>
      <c r="P144" s="27">
        <f>IFERROR(Таблица2[[#This Row],[сумма отгрузки текущая]]/40,"")</f>
        <v>186.775</v>
      </c>
      <c r="Q144" s="27">
        <f>IFERROR(ROUNDUP(Таблица2[[#This Row],[кол-во ед. продукции]]/20,0),"")</f>
        <v>10</v>
      </c>
      <c r="R144" s="26">
        <f t="shared" si="4"/>
        <v>8218.1</v>
      </c>
      <c r="S144" s="27">
        <f>IFERROR(Таблица2[[#This Row],[сумма отгрузки план]]/40,"")</f>
        <v>205.4525</v>
      </c>
      <c r="T144" s="36">
        <f>IFERROR(ROUNDUP(Таблица2[[#This Row],[кол-во продукции план]]/20,0),"")</f>
        <v>11</v>
      </c>
    </row>
    <row r="145" ht="23.25" customHeight="1" spans="1:20">
      <c r="A145" s="11">
        <f>SUBTOTAL(3,C$1:C144)</f>
        <v>144</v>
      </c>
      <c r="B145" s="15" t="s">
        <v>576</v>
      </c>
      <c r="C145" s="7" t="s">
        <v>577</v>
      </c>
      <c r="D145" s="16" t="s">
        <v>578</v>
      </c>
      <c r="E145" s="17" t="s">
        <v>579</v>
      </c>
      <c r="F145" s="10" t="s">
        <v>512</v>
      </c>
      <c r="G145" s="10"/>
      <c r="H145" s="10" t="s">
        <v>24</v>
      </c>
      <c r="I145" s="15">
        <f>VLOOKUP(Таблица2[[#This Row],[канал сбыта]],справочники!A:D,4,0)</f>
        <v>3</v>
      </c>
      <c r="J145" s="23">
        <f>VLOOKUP(Таблица2[[#This Row],[канал сбыта]],справочники!A:E,5,0)</f>
        <v>0.00347222222222222</v>
      </c>
      <c r="K145" s="24">
        <f>VLOOKUP(Таблица2[[#This Row],[канал сбыта]],справочники!A:E,2,0)</f>
        <v>0.333333333333333</v>
      </c>
      <c r="L145" s="24">
        <f>VLOOKUP(Таблица2[[#This Row],[канал сбыта]],справочники!A:E,3,0)</f>
        <v>0.416666666666667</v>
      </c>
      <c r="M145" s="24">
        <v>0.409722222222222</v>
      </c>
      <c r="N145" s="25"/>
      <c r="O145" s="26">
        <v>905</v>
      </c>
      <c r="P145" s="27">
        <f>IFERROR(Таблица2[[#This Row],[сумма отгрузки текущая]]/40,"")</f>
        <v>22.625</v>
      </c>
      <c r="Q145" s="27">
        <f>IFERROR(ROUNDUP(Таблица2[[#This Row],[кол-во ед. продукции]]/20,0),"")</f>
        <v>2</v>
      </c>
      <c r="R145" s="26">
        <f t="shared" si="4"/>
        <v>995.5</v>
      </c>
      <c r="S145" s="27">
        <f>IFERROR(Таблица2[[#This Row],[сумма отгрузки план]]/40,"")</f>
        <v>24.8875</v>
      </c>
      <c r="T145" s="36">
        <f>IFERROR(ROUNDUP(Таблица2[[#This Row],[кол-во продукции план]]/20,0),"")</f>
        <v>2</v>
      </c>
    </row>
    <row r="146" ht="24.75" customHeight="1" spans="1:20">
      <c r="A146" s="11">
        <f>SUBTOTAL(3,C$1:C145)</f>
        <v>145</v>
      </c>
      <c r="B146" s="15">
        <v>805</v>
      </c>
      <c r="C146" s="7" t="s">
        <v>580</v>
      </c>
      <c r="D146" s="16" t="s">
        <v>581</v>
      </c>
      <c r="E146" s="17" t="s">
        <v>582</v>
      </c>
      <c r="F146" s="10" t="s">
        <v>512</v>
      </c>
      <c r="G146" s="10"/>
      <c r="H146" s="10" t="s">
        <v>24</v>
      </c>
      <c r="I146" s="15">
        <f>VLOOKUP(Таблица2[[#This Row],[канал сбыта]],справочники!A:D,4,0)</f>
        <v>3</v>
      </c>
      <c r="J146" s="23">
        <f>VLOOKUP(Таблица2[[#This Row],[канал сбыта]],справочники!A:E,5,0)</f>
        <v>0.00347222222222222</v>
      </c>
      <c r="K146" s="24">
        <f>VLOOKUP(Таблица2[[#This Row],[канал сбыта]],справочники!A:E,2,0)</f>
        <v>0.333333333333333</v>
      </c>
      <c r="L146" s="24">
        <f>VLOOKUP(Таблица2[[#This Row],[канал сбыта]],справочники!A:E,3,0)</f>
        <v>0.416666666666667</v>
      </c>
      <c r="M146" s="24">
        <v>0.416666666666667</v>
      </c>
      <c r="N146" s="25"/>
      <c r="O146" s="26">
        <v>1094</v>
      </c>
      <c r="P146" s="27">
        <f>IFERROR(Таблица2[[#This Row],[сумма отгрузки текущая]]/40,"")</f>
        <v>27.35</v>
      </c>
      <c r="Q146" s="27">
        <f>IFERROR(ROUNDUP(Таблица2[[#This Row],[кол-во ед. продукции]]/20,0),"")</f>
        <v>2</v>
      </c>
      <c r="R146" s="26">
        <f t="shared" ref="R146:R151" si="5">O146*IF(ABS((N146-M146)*1440)&gt;180,IF((N146-M146)*1440&gt;0,0.85,1.1),IF(ABS((N146-M146)*1440)&gt;120,IF((N146-M146)*1440&gt;0,0.93,1.07),IF(ABS((N146-M146)*1440)&gt;60,IF((N146-M146)*1440&gt;0,0.97,1.03),1)))</f>
        <v>1203.4</v>
      </c>
      <c r="S146" s="27">
        <f>IFERROR(Таблица2[[#This Row],[сумма отгрузки план]]/40,"")</f>
        <v>30.085</v>
      </c>
      <c r="T146" s="36">
        <f>IFERROR(ROUNDUP(Таблица2[[#This Row],[кол-во продукции план]]/20,0),"")</f>
        <v>2</v>
      </c>
    </row>
    <row r="147" ht="22.5" customHeight="1" spans="1:20">
      <c r="A147" s="11">
        <f>SUBTOTAL(3,C$1:C146)</f>
        <v>146</v>
      </c>
      <c r="B147" s="15" t="s">
        <v>583</v>
      </c>
      <c r="C147" s="7" t="s">
        <v>584</v>
      </c>
      <c r="D147" s="16" t="s">
        <v>585</v>
      </c>
      <c r="E147" s="17" t="s">
        <v>586</v>
      </c>
      <c r="F147" s="10" t="s">
        <v>512</v>
      </c>
      <c r="G147" s="10"/>
      <c r="H147" s="10" t="s">
        <v>108</v>
      </c>
      <c r="I147" s="15">
        <f>VLOOKUP(Таблица2[[#This Row],[канал сбыта]],справочники!A:D,4,0)</f>
        <v>3</v>
      </c>
      <c r="J147" s="23">
        <f>VLOOKUP(Таблица2[[#This Row],[канал сбыта]],справочники!A:E,5,0)</f>
        <v>0.00486111111111111</v>
      </c>
      <c r="K147" s="24">
        <f>VLOOKUP(Таблица2[[#This Row],[канал сбыта]],справочники!A:E,2,0)</f>
        <v>0.375</v>
      </c>
      <c r="L147" s="24">
        <f>VLOOKUP(Таблица2[[#This Row],[канал сбыта]],справочники!A:E,3,0)</f>
        <v>0.520833333333333</v>
      </c>
      <c r="M147" s="24">
        <v>0.427083333333333</v>
      </c>
      <c r="N147" s="25"/>
      <c r="O147" s="26">
        <v>2357</v>
      </c>
      <c r="P147" s="27">
        <f>IFERROR(Таблица2[[#This Row],[сумма отгрузки текущая]]/40,"")</f>
        <v>58.925</v>
      </c>
      <c r="Q147" s="27">
        <f>IFERROR(ROUNDUP(Таблица2[[#This Row],[кол-во ед. продукции]]/20,0),"")</f>
        <v>3</v>
      </c>
      <c r="R147" s="26">
        <f t="shared" si="5"/>
        <v>2592.7</v>
      </c>
      <c r="S147" s="27">
        <f>IFERROR(Таблица2[[#This Row],[сумма отгрузки план]]/40,"")</f>
        <v>64.8175</v>
      </c>
      <c r="T147" s="36">
        <f>IFERROR(ROUNDUP(Таблица2[[#This Row],[кол-во продукции план]]/20,0),"")</f>
        <v>4</v>
      </c>
    </row>
    <row r="148" ht="26.25" customHeight="1" spans="1:20">
      <c r="A148" s="11">
        <f>SUBTOTAL(3,C$1:C147)</f>
        <v>147</v>
      </c>
      <c r="B148" s="15" t="s">
        <v>587</v>
      </c>
      <c r="C148" s="7" t="s">
        <v>588</v>
      </c>
      <c r="D148" s="16" t="s">
        <v>589</v>
      </c>
      <c r="E148" s="17" t="s">
        <v>590</v>
      </c>
      <c r="F148" s="10" t="s">
        <v>512</v>
      </c>
      <c r="G148" s="10"/>
      <c r="H148" s="10" t="s">
        <v>591</v>
      </c>
      <c r="I148" s="15">
        <f>VLOOKUP(Таблица2[[#This Row],[канал сбыта]],справочники!A:D,4,0)</f>
        <v>3</v>
      </c>
      <c r="J148" s="23">
        <f>VLOOKUP(Таблица2[[#This Row],[канал сбыта]],справочники!A:E,5,0)</f>
        <v>0.00486111111111111</v>
      </c>
      <c r="K148" s="24">
        <f>VLOOKUP(Таблица2[[#This Row],[канал сбыта]],справочники!A:E,2,0)</f>
        <v>0.333333333333333</v>
      </c>
      <c r="L148" s="24">
        <f>VLOOKUP(Таблица2[[#This Row],[канал сбыта]],справочники!A:E,3,0)</f>
        <v>0.479166666666667</v>
      </c>
      <c r="M148" s="24">
        <v>0.4375</v>
      </c>
      <c r="N148" s="25"/>
      <c r="O148" s="26">
        <v>539</v>
      </c>
      <c r="P148" s="27">
        <f>IFERROR(Таблица2[[#This Row],[сумма отгрузки текущая]]/40,"")</f>
        <v>13.475</v>
      </c>
      <c r="Q148" s="27">
        <f>IFERROR(ROUNDUP(Таблица2[[#This Row],[кол-во ед. продукции]]/20,0),"")</f>
        <v>1</v>
      </c>
      <c r="R148" s="26">
        <f t="shared" si="5"/>
        <v>592.9</v>
      </c>
      <c r="S148" s="27">
        <f>IFERROR(Таблица2[[#This Row],[сумма отгрузки план]]/40,"")</f>
        <v>14.8225</v>
      </c>
      <c r="T148" s="36">
        <f>IFERROR(ROUNDUP(Таблица2[[#This Row],[кол-во продукции план]]/20,0),"")</f>
        <v>1</v>
      </c>
    </row>
    <row r="149" ht="27" customHeight="1" spans="1:20">
      <c r="A149" s="11">
        <f>SUBTOTAL(3,C$1:C148)</f>
        <v>148</v>
      </c>
      <c r="B149" s="15">
        <v>848</v>
      </c>
      <c r="C149" s="7" t="s">
        <v>592</v>
      </c>
      <c r="D149" s="16" t="s">
        <v>593</v>
      </c>
      <c r="E149" s="17" t="s">
        <v>594</v>
      </c>
      <c r="F149" s="10" t="s">
        <v>512</v>
      </c>
      <c r="G149" s="10"/>
      <c r="H149" s="10" t="s">
        <v>55</v>
      </c>
      <c r="I149" s="15">
        <f>VLOOKUP(Таблица2[[#This Row],[канал сбыта]],справочники!A:D,4,0)</f>
        <v>3</v>
      </c>
      <c r="J149" s="23">
        <f>VLOOKUP(Таблица2[[#This Row],[канал сбыта]],справочники!A:E,5,0)</f>
        <v>0.00486111111111111</v>
      </c>
      <c r="K149" s="24">
        <f>VLOOKUP(Таблица2[[#This Row],[канал сбыта]],справочники!A:E,2,0)</f>
        <v>0.333333333333333</v>
      </c>
      <c r="L149" s="24">
        <f>VLOOKUP(Таблица2[[#This Row],[канал сбыта]],справочники!A:E,3,0)</f>
        <v>0.5</v>
      </c>
      <c r="M149" s="24">
        <v>0.447916666666667</v>
      </c>
      <c r="N149" s="25"/>
      <c r="O149" s="26">
        <v>5537</v>
      </c>
      <c r="P149" s="27">
        <f>IFERROR(Таблица2[[#This Row],[сумма отгрузки текущая]]/40,"")</f>
        <v>138.425</v>
      </c>
      <c r="Q149" s="27">
        <f>IFERROR(ROUNDUP(Таблица2[[#This Row],[кол-во ед. продукции]]/20,0),"")</f>
        <v>7</v>
      </c>
      <c r="R149" s="26">
        <f t="shared" si="5"/>
        <v>6090.7</v>
      </c>
      <c r="S149" s="27">
        <f>IFERROR(Таблица2[[#This Row],[сумма отгрузки план]]/40,"")</f>
        <v>152.2675</v>
      </c>
      <c r="T149" s="36">
        <f>IFERROR(ROUNDUP(Таблица2[[#This Row],[кол-во продукции план]]/20,0),"")</f>
        <v>8</v>
      </c>
    </row>
    <row r="150" ht="25.5" customHeight="1" spans="1:20">
      <c r="A150" s="11">
        <f>SUBTOTAL(3,C$1:C149)</f>
        <v>149</v>
      </c>
      <c r="B150" s="15" t="s">
        <v>595</v>
      </c>
      <c r="C150" s="7" t="s">
        <v>596</v>
      </c>
      <c r="D150" s="16" t="s">
        <v>597</v>
      </c>
      <c r="E150" s="17" t="s">
        <v>598</v>
      </c>
      <c r="F150" s="10" t="s">
        <v>512</v>
      </c>
      <c r="G150" s="10"/>
      <c r="H150" s="10" t="s">
        <v>55</v>
      </c>
      <c r="I150" s="15">
        <f>VLOOKUP(Таблица2[[#This Row],[канал сбыта]],справочники!A:D,4,0)</f>
        <v>3</v>
      </c>
      <c r="J150" s="23">
        <f>VLOOKUP(Таблица2[[#This Row],[канал сбыта]],справочники!A:E,5,0)</f>
        <v>0.00486111111111111</v>
      </c>
      <c r="K150" s="24">
        <f>VLOOKUP(Таблица2[[#This Row],[канал сбыта]],справочники!A:E,2,0)</f>
        <v>0.333333333333333</v>
      </c>
      <c r="L150" s="24">
        <f>VLOOKUP(Таблица2[[#This Row],[канал сбыта]],справочники!A:E,3,0)</f>
        <v>0.5</v>
      </c>
      <c r="M150" s="24">
        <v>0.454861111111111</v>
      </c>
      <c r="N150" s="25"/>
      <c r="O150" s="26">
        <v>2516</v>
      </c>
      <c r="P150" s="27">
        <f>IFERROR(Таблица2[[#This Row],[сумма отгрузки текущая]]/40,"")</f>
        <v>62.9</v>
      </c>
      <c r="Q150" s="27">
        <f>IFERROR(ROUNDUP(Таблица2[[#This Row],[кол-во ед. продукции]]/20,0),"")</f>
        <v>4</v>
      </c>
      <c r="R150" s="26">
        <f t="shared" si="5"/>
        <v>2767.6</v>
      </c>
      <c r="S150" s="27">
        <f>IFERROR(Таблица2[[#This Row],[сумма отгрузки план]]/40,"")</f>
        <v>69.19</v>
      </c>
      <c r="T150" s="36">
        <f>IFERROR(ROUNDUP(Таблица2[[#This Row],[кол-во продукции план]]/20,0),"")</f>
        <v>4</v>
      </c>
    </row>
    <row r="151" ht="26.25" customHeight="1" spans="1:20">
      <c r="A151" s="11">
        <f>SUBTOTAL(3,C$1:C150)</f>
        <v>150</v>
      </c>
      <c r="B151" s="15" t="s">
        <v>599</v>
      </c>
      <c r="C151" s="7" t="s">
        <v>600</v>
      </c>
      <c r="D151" s="16" t="s">
        <v>601</v>
      </c>
      <c r="E151" s="17" t="s">
        <v>602</v>
      </c>
      <c r="F151" s="10" t="s">
        <v>512</v>
      </c>
      <c r="G151" s="10"/>
      <c r="H151" s="10" t="s">
        <v>91</v>
      </c>
      <c r="I151" s="15">
        <f>VLOOKUP(Таблица2[[#This Row],[канал сбыта]],справочники!A:D,4,0)</f>
        <v>3</v>
      </c>
      <c r="J151" s="23">
        <f>VLOOKUP(Таблица2[[#This Row],[канал сбыта]],справочники!A:E,5,0)</f>
        <v>0.00486111111111111</v>
      </c>
      <c r="K151" s="24">
        <f>VLOOKUP(Таблица2[[#This Row],[канал сбыта]],справочники!A:E,2,0)</f>
        <v>0.333333333333333</v>
      </c>
      <c r="L151" s="24">
        <f>VLOOKUP(Таблица2[[#This Row],[канал сбыта]],справочники!A:E,3,0)</f>
        <v>0.458333333333333</v>
      </c>
      <c r="M151" s="24">
        <v>0.461805555555556</v>
      </c>
      <c r="N151" s="25"/>
      <c r="O151" s="26">
        <v>3587</v>
      </c>
      <c r="P151" s="27">
        <f>IFERROR(Таблица2[[#This Row],[сумма отгрузки текущая]]/40,"")</f>
        <v>89.675</v>
      </c>
      <c r="Q151" s="27">
        <f>IFERROR(ROUNDUP(Таблица2[[#This Row],[кол-во ед. продукции]]/20,0),"")</f>
        <v>5</v>
      </c>
      <c r="R151" s="26">
        <f t="shared" si="5"/>
        <v>3945.7</v>
      </c>
      <c r="S151" s="27">
        <f>IFERROR(Таблица2[[#This Row],[сумма отгрузки план]]/40,"")</f>
        <v>98.6425</v>
      </c>
      <c r="T151" s="36">
        <f>IFERROR(ROUNDUP(Таблица2[[#This Row],[кол-во продукции план]]/20,0),"")</f>
        <v>5</v>
      </c>
    </row>
    <row r="152" ht="31.5" customHeight="1" spans="1:20">
      <c r="A152" s="11">
        <f>SUBTOTAL(3,C$1:C151)</f>
        <v>151</v>
      </c>
      <c r="B152" s="15" t="s">
        <v>603</v>
      </c>
      <c r="C152" s="7" t="s">
        <v>604</v>
      </c>
      <c r="D152" s="16" t="s">
        <v>605</v>
      </c>
      <c r="E152" s="17" t="s">
        <v>606</v>
      </c>
      <c r="F152" s="10" t="s">
        <v>512</v>
      </c>
      <c r="G152" s="10"/>
      <c r="H152" s="10" t="s">
        <v>24</v>
      </c>
      <c r="I152" s="15">
        <f>VLOOKUP(Таблица2[[#This Row],[канал сбыта]],справочники!A:D,4,0)</f>
        <v>3</v>
      </c>
      <c r="J152" s="23">
        <f>VLOOKUP(Таблица2[[#This Row],[канал сбыта]],справочники!A:E,5,0)</f>
        <v>0.00347222222222222</v>
      </c>
      <c r="K152" s="24">
        <f>VLOOKUP(Таблица2[[#This Row],[канал сбыта]],справочники!A:E,2,0)</f>
        <v>0.333333333333333</v>
      </c>
      <c r="L152" s="24">
        <f>VLOOKUP(Таблица2[[#This Row],[канал сбыта]],справочники!A:E,3,0)</f>
        <v>0.416666666666667</v>
      </c>
      <c r="M152" s="24">
        <v>0.472222222222222</v>
      </c>
      <c r="N152" s="25"/>
      <c r="O152" s="26">
        <v>511</v>
      </c>
      <c r="P152" s="27">
        <f>IFERROR(Таблица2[[#This Row],[сумма отгрузки текущая]]/40,"")</f>
        <v>12.775</v>
      </c>
      <c r="Q152" s="35">
        <f>IFERROR(ROUNDUP(Таблица2[[#This Row],[кол-во ед. продукции]]/20,0),"")</f>
        <v>1</v>
      </c>
      <c r="R152" s="26">
        <f t="shared" si="1"/>
        <v>562.1</v>
      </c>
      <c r="S152" s="27">
        <f>IFERROR(Таблица2[[#This Row],[сумма отгрузки план]]/40,"")</f>
        <v>14.0525</v>
      </c>
      <c r="T152" s="36">
        <f>IFERROR(ROUNDUP(Таблица2[[#This Row],[кол-во продукции план]]/20,0),"")</f>
        <v>1</v>
      </c>
    </row>
    <row r="153" ht="23.25" customHeight="1" spans="1:20">
      <c r="A153" s="11">
        <f>SUBTOTAL(3,C$1:C152)</f>
        <v>152</v>
      </c>
      <c r="B153" s="15" t="s">
        <v>607</v>
      </c>
      <c r="C153" s="7" t="s">
        <v>608</v>
      </c>
      <c r="D153" s="16" t="s">
        <v>609</v>
      </c>
      <c r="E153" s="17" t="s">
        <v>610</v>
      </c>
      <c r="F153" s="10" t="s">
        <v>512</v>
      </c>
      <c r="G153" s="10"/>
      <c r="H153" s="10" t="s">
        <v>24</v>
      </c>
      <c r="I153" s="15">
        <f>VLOOKUP(Таблица2[[#This Row],[канал сбыта]],справочники!A:D,4,0)</f>
        <v>3</v>
      </c>
      <c r="J153" s="23">
        <f>VLOOKUP(Таблица2[[#This Row],[канал сбыта]],справочники!A:E,5,0)</f>
        <v>0.00347222222222222</v>
      </c>
      <c r="K153" s="24">
        <f>VLOOKUP(Таблица2[[#This Row],[канал сбыта]],справочники!A:E,2,0)</f>
        <v>0.333333333333333</v>
      </c>
      <c r="L153" s="24">
        <f>VLOOKUP(Таблица2[[#This Row],[канал сбыта]],справочники!A:E,3,0)</f>
        <v>0.416666666666667</v>
      </c>
      <c r="M153" s="24">
        <v>0.482638888888889</v>
      </c>
      <c r="N153" s="36"/>
      <c r="O153" s="26">
        <v>1371</v>
      </c>
      <c r="P153" s="27">
        <f>IFERROR(Таблица2[[#This Row],[сумма отгрузки текущая]]/40,"")</f>
        <v>34.275</v>
      </c>
      <c r="Q153" s="27">
        <f>IFERROR(ROUNDUP(Таблица2[[#This Row],[кол-во ед. продукции]]/20,0),"")</f>
        <v>2</v>
      </c>
      <c r="R153" s="26">
        <f t="shared" ref="R153:R154" si="6">O153*IF(ABS((N153-M153)*1440)&gt;180,IF((N153-M153)*1440&gt;0,0.85,1.1),IF(ABS((N153-M153)*1440)&gt;120,IF((N153-M153)*1440&gt;0,0.93,1.07),IF(ABS((N153-M153)*1440)&gt;60,IF((N153-M153)*1440&gt;0,0.97,1.03),1)))</f>
        <v>1508.1</v>
      </c>
      <c r="S153" s="27">
        <f>IFERROR(Таблица2[[#This Row],[сумма отгрузки план]]/40,"")</f>
        <v>37.7025</v>
      </c>
      <c r="T153" s="36">
        <f>IFERROR(ROUNDUP(Таблица2[[#This Row],[кол-во продукции план]]/20,0),"")</f>
        <v>2</v>
      </c>
    </row>
    <row r="154" ht="30" customHeight="1" spans="1:20">
      <c r="A154" s="11">
        <f>SUBTOTAL(3,C$1:C153)</f>
        <v>153</v>
      </c>
      <c r="B154" s="15">
        <v>659</v>
      </c>
      <c r="C154" s="19" t="s">
        <v>611</v>
      </c>
      <c r="D154" s="20" t="s">
        <v>612</v>
      </c>
      <c r="E154" s="17" t="s">
        <v>613</v>
      </c>
      <c r="F154" s="10" t="s">
        <v>512</v>
      </c>
      <c r="G154" s="10"/>
      <c r="H154" s="10" t="s">
        <v>24</v>
      </c>
      <c r="I154" s="15">
        <f>VLOOKUP(Таблица2[[#This Row],[канал сбыта]],справочники!A:D,4,0)</f>
        <v>3</v>
      </c>
      <c r="J154" s="23">
        <f>VLOOKUP(Таблица2[[#This Row],[канал сбыта]],справочники!A:E,5,0)</f>
        <v>0.00347222222222222</v>
      </c>
      <c r="K154" s="24">
        <f>VLOOKUP(Таблица2[[#This Row],[канал сбыта]],справочники!A:E,2,0)</f>
        <v>0.333333333333333</v>
      </c>
      <c r="L154" s="24">
        <f>VLOOKUP(Таблица2[[#This Row],[канал сбыта]],справочники!A:E,3,0)</f>
        <v>0.416666666666667</v>
      </c>
      <c r="M154" s="24">
        <v>0.489583333333333</v>
      </c>
      <c r="N154" s="36"/>
      <c r="O154" s="26">
        <v>728</v>
      </c>
      <c r="P154" s="27">
        <f>IFERROR(Таблица2[[#This Row],[сумма отгрузки текущая]]/40,"")</f>
        <v>18.2</v>
      </c>
      <c r="Q154" s="27">
        <f>IFERROR(ROUNDUP(Таблица2[[#This Row],[кол-во ед. продукции]]/20,0),"")</f>
        <v>1</v>
      </c>
      <c r="R154" s="26">
        <f t="shared" si="6"/>
        <v>800.8</v>
      </c>
      <c r="S154" s="27">
        <f>IFERROR(Таблица2[[#This Row],[сумма отгрузки план]]/40,"")</f>
        <v>20.02</v>
      </c>
      <c r="T154" s="36">
        <f>IFERROR(ROUNDUP(Таблица2[[#This Row],[кол-во продукции план]]/20,0),"")</f>
        <v>2</v>
      </c>
    </row>
    <row r="155" ht="30" customHeight="1" spans="1:20">
      <c r="A155" s="11">
        <f>SUBTOTAL(3,C$1:C154)</f>
        <v>154</v>
      </c>
      <c r="B155" s="15" t="s">
        <v>614</v>
      </c>
      <c r="C155" s="7" t="s">
        <v>615</v>
      </c>
      <c r="D155" s="16" t="s">
        <v>616</v>
      </c>
      <c r="E155" s="17" t="s">
        <v>617</v>
      </c>
      <c r="F155" s="38" t="s">
        <v>618</v>
      </c>
      <c r="G155" s="38"/>
      <c r="H155" s="38" t="s">
        <v>35</v>
      </c>
      <c r="I155" s="39">
        <f>VLOOKUP(Таблица2[[#This Row],[канал сбыта]],справочники!A:D,4,0)</f>
        <v>1</v>
      </c>
      <c r="J155" s="40">
        <f>VLOOKUP(Таблица2[[#This Row],[канал сбыта]],справочники!A:E,5,0)</f>
        <v>0.00486111111111111</v>
      </c>
      <c r="K155" s="41">
        <f>VLOOKUP(Таблица2[[#This Row],[канал сбыта]],справочники!A:E,2,0)</f>
        <v>0.208333333333333</v>
      </c>
      <c r="L155" s="41">
        <f>VLOOKUP(Таблица2[[#This Row],[канал сбыта]],справочники!A:E,3,0)</f>
        <v>0.333333333333333</v>
      </c>
      <c r="M155" s="41">
        <v>0.25</v>
      </c>
      <c r="N155" s="42"/>
      <c r="O155" s="43">
        <v>883</v>
      </c>
      <c r="P155" s="44">
        <f>IFERROR(Таблица2[[#This Row],[сумма отгрузки текущая]]/40,"")</f>
        <v>22.075</v>
      </c>
      <c r="Q155" s="44">
        <f>IFERROR(ROUNDUP(Таблица2[[#This Row],[кол-во ед. продукции]]/20,0),"")</f>
        <v>2</v>
      </c>
      <c r="R155" s="43">
        <f t="shared" ref="R155:R166" si="7">O155*IF(ABS((N155-M155)*1440)&gt;180,IF((N155-M155)*1440&gt;0,0.85,1.1),IF(ABS((N155-M155)*1440)&gt;120,IF((N155-M155)*1440&gt;0,0.93,1.07),IF(ABS((N155-M155)*1440)&gt;60,IF((N155-M155)*1440&gt;0,0.97,1.03),1)))</f>
        <v>971.3</v>
      </c>
      <c r="S155" s="44">
        <f>IFERROR(Таблица2[[#This Row],[сумма отгрузки план]]/40,"")</f>
        <v>24.2825</v>
      </c>
      <c r="T155" s="42">
        <f>IFERROR(ROUNDUP(Таблица2[[#This Row],[кол-во продукции план]]/20,0),"")</f>
        <v>2</v>
      </c>
    </row>
    <row r="156" ht="30" customHeight="1" spans="1:20">
      <c r="A156" s="11">
        <f>SUBTOTAL(3,C$1:C155)</f>
        <v>155</v>
      </c>
      <c r="B156" s="15" t="s">
        <v>619</v>
      </c>
      <c r="C156" s="7" t="s">
        <v>620</v>
      </c>
      <c r="D156" s="16" t="s">
        <v>621</v>
      </c>
      <c r="E156" s="16" t="s">
        <v>622</v>
      </c>
      <c r="F156" s="38" t="s">
        <v>618</v>
      </c>
      <c r="G156" s="38"/>
      <c r="H156" s="38" t="s">
        <v>24</v>
      </c>
      <c r="I156" s="39">
        <f>VLOOKUP(Таблица2[[#This Row],[канал сбыта]],справочники!A:D,4,0)</f>
        <v>3</v>
      </c>
      <c r="J156" s="40">
        <f>VLOOKUP(Таблица2[[#This Row],[канал сбыта]],справочники!A:E,5,0)</f>
        <v>0.00347222222222222</v>
      </c>
      <c r="K156" s="41">
        <f>VLOOKUP(Таблица2[[#This Row],[канал сбыта]],справочники!A:E,2,0)</f>
        <v>0.333333333333333</v>
      </c>
      <c r="L156" s="41">
        <f>VLOOKUP(Таблица2[[#This Row],[канал сбыта]],справочники!A:E,3,0)</f>
        <v>0.416666666666667</v>
      </c>
      <c r="M156" s="41">
        <v>0.263888888888889</v>
      </c>
      <c r="N156" s="42"/>
      <c r="O156" s="43">
        <v>2944</v>
      </c>
      <c r="P156" s="44">
        <f>IFERROR(Таблица2[[#This Row],[сумма отгрузки текущая]]/40,"")</f>
        <v>73.6</v>
      </c>
      <c r="Q156" s="44">
        <f>IFERROR(ROUNDUP(Таблица2[[#This Row],[кол-во ед. продукции]]/20,0),"")</f>
        <v>4</v>
      </c>
      <c r="R156" s="43">
        <f t="shared" si="7"/>
        <v>3238.4</v>
      </c>
      <c r="S156" s="44">
        <f>IFERROR(Таблица2[[#This Row],[сумма отгрузки план]]/40,"")</f>
        <v>80.96</v>
      </c>
      <c r="T156" s="42">
        <f>IFERROR(ROUNDUP(Таблица2[[#This Row],[кол-во продукции план]]/20,0),"")</f>
        <v>5</v>
      </c>
    </row>
    <row r="157" ht="30" customHeight="1" spans="1:20">
      <c r="A157" s="11">
        <f>SUBTOTAL(3,C$1:C156)</f>
        <v>156</v>
      </c>
      <c r="B157" s="15" t="s">
        <v>623</v>
      </c>
      <c r="C157" s="7" t="s">
        <v>624</v>
      </c>
      <c r="D157" s="16" t="s">
        <v>625</v>
      </c>
      <c r="E157" s="16" t="s">
        <v>626</v>
      </c>
      <c r="F157" s="38" t="s">
        <v>618</v>
      </c>
      <c r="G157" s="38"/>
      <c r="H157" s="38" t="s">
        <v>24</v>
      </c>
      <c r="I157" s="39">
        <f>VLOOKUP(Таблица2[[#This Row],[канал сбыта]],справочники!A:D,4,0)</f>
        <v>3</v>
      </c>
      <c r="J157" s="40">
        <f>VLOOKUP(Таблица2[[#This Row],[канал сбыта]],справочники!A:E,5,0)</f>
        <v>0.00347222222222222</v>
      </c>
      <c r="K157" s="41">
        <f>VLOOKUP(Таблица2[[#This Row],[канал сбыта]],справочники!A:E,2,0)</f>
        <v>0.333333333333333</v>
      </c>
      <c r="L157" s="41">
        <f>VLOOKUP(Таблица2[[#This Row],[канал сбыта]],справочники!A:E,3,0)</f>
        <v>0.416666666666667</v>
      </c>
      <c r="M157" s="41">
        <v>0.274305555555556</v>
      </c>
      <c r="N157" s="42"/>
      <c r="O157" s="43">
        <v>297</v>
      </c>
      <c r="P157" s="44">
        <f>IFERROR(Таблица2[[#This Row],[сумма отгрузки текущая]]/40,"")</f>
        <v>7.425</v>
      </c>
      <c r="Q157" s="44">
        <f>IFERROR(ROUNDUP(Таблица2[[#This Row],[кол-во ед. продукции]]/20,0),"")</f>
        <v>1</v>
      </c>
      <c r="R157" s="43">
        <f t="shared" si="7"/>
        <v>326.7</v>
      </c>
      <c r="S157" s="44">
        <f>IFERROR(Таблица2[[#This Row],[сумма отгрузки план]]/40,"")</f>
        <v>8.1675</v>
      </c>
      <c r="T157" s="42">
        <f>IFERROR(ROUNDUP(Таблица2[[#This Row],[кол-во продукции план]]/20,0),"")</f>
        <v>1</v>
      </c>
    </row>
    <row r="158" ht="30" customHeight="1" spans="1:20">
      <c r="A158" s="11">
        <f>SUBTOTAL(3,C$1:C157)</f>
        <v>157</v>
      </c>
      <c r="B158" s="15" t="s">
        <v>627</v>
      </c>
      <c r="C158" s="7" t="s">
        <v>628</v>
      </c>
      <c r="D158" s="16" t="s">
        <v>629</v>
      </c>
      <c r="E158" s="17" t="s">
        <v>630</v>
      </c>
      <c r="F158" s="38" t="s">
        <v>618</v>
      </c>
      <c r="G158" s="38"/>
      <c r="H158" s="38" t="s">
        <v>24</v>
      </c>
      <c r="I158" s="39">
        <f>VLOOKUP(Таблица2[[#This Row],[канал сбыта]],справочники!A:D,4,0)</f>
        <v>3</v>
      </c>
      <c r="J158" s="40">
        <f>VLOOKUP(Таблица2[[#This Row],[канал сбыта]],справочники!A:E,5,0)</f>
        <v>0.00347222222222222</v>
      </c>
      <c r="K158" s="41">
        <f>VLOOKUP(Таблица2[[#This Row],[канал сбыта]],справочники!A:E,2,0)</f>
        <v>0.333333333333333</v>
      </c>
      <c r="L158" s="41">
        <f>VLOOKUP(Таблица2[[#This Row],[канал сбыта]],справочники!A:E,3,0)</f>
        <v>0.416666666666667</v>
      </c>
      <c r="M158" s="41">
        <v>0.28125</v>
      </c>
      <c r="N158" s="42"/>
      <c r="O158" s="43">
        <v>808</v>
      </c>
      <c r="P158" s="44">
        <f>IFERROR(Таблица2[[#This Row],[сумма отгрузки текущая]]/40,"")</f>
        <v>20.2</v>
      </c>
      <c r="Q158" s="44">
        <f>IFERROR(ROUNDUP(Таблица2[[#This Row],[кол-во ед. продукции]]/20,0),"")</f>
        <v>2</v>
      </c>
      <c r="R158" s="43">
        <f t="shared" si="7"/>
        <v>888.8</v>
      </c>
      <c r="S158" s="44">
        <f>IFERROR(Таблица2[[#This Row],[сумма отгрузки план]]/40,"")</f>
        <v>22.22</v>
      </c>
      <c r="T158" s="42">
        <f>IFERROR(ROUNDUP(Таблица2[[#This Row],[кол-во продукции план]]/20,0),"")</f>
        <v>2</v>
      </c>
    </row>
    <row r="159" ht="30" customHeight="1" spans="1:20">
      <c r="A159" s="11">
        <f>SUBTOTAL(3,C$1:C158)</f>
        <v>158</v>
      </c>
      <c r="B159" s="15" t="s">
        <v>631</v>
      </c>
      <c r="C159" s="7" t="s">
        <v>632</v>
      </c>
      <c r="D159" s="16" t="s">
        <v>633</v>
      </c>
      <c r="E159" s="17" t="s">
        <v>634</v>
      </c>
      <c r="F159" s="38" t="s">
        <v>618</v>
      </c>
      <c r="G159" s="38"/>
      <c r="H159" s="38" t="s">
        <v>24</v>
      </c>
      <c r="I159" s="39">
        <f>VLOOKUP(Таблица2[[#This Row],[канал сбыта]],справочники!A:D,4,0)</f>
        <v>3</v>
      </c>
      <c r="J159" s="40">
        <f>VLOOKUP(Таблица2[[#This Row],[канал сбыта]],справочники!A:E,5,0)</f>
        <v>0.00347222222222222</v>
      </c>
      <c r="K159" s="41">
        <f>VLOOKUP(Таблица2[[#This Row],[канал сбыта]],справочники!A:E,2,0)</f>
        <v>0.333333333333333</v>
      </c>
      <c r="L159" s="41">
        <f>VLOOKUP(Таблица2[[#This Row],[канал сбыта]],справочники!A:E,3,0)</f>
        <v>0.416666666666667</v>
      </c>
      <c r="M159" s="41">
        <v>0.288194444444444</v>
      </c>
      <c r="N159" s="42"/>
      <c r="O159" s="43">
        <v>635</v>
      </c>
      <c r="P159" s="44">
        <f>IFERROR(Таблица2[[#This Row],[сумма отгрузки текущая]]/40,"")</f>
        <v>15.875</v>
      </c>
      <c r="Q159" s="44">
        <f>IFERROR(ROUNDUP(Таблица2[[#This Row],[кол-во ед. продукции]]/20,0),"")</f>
        <v>1</v>
      </c>
      <c r="R159" s="43">
        <f t="shared" si="7"/>
        <v>698.5</v>
      </c>
      <c r="S159" s="44">
        <f>IFERROR(Таблица2[[#This Row],[сумма отгрузки план]]/40,"")</f>
        <v>17.4625</v>
      </c>
      <c r="T159" s="42">
        <f>IFERROR(ROUNDUP(Таблица2[[#This Row],[кол-во продукции план]]/20,0),"")</f>
        <v>1</v>
      </c>
    </row>
    <row r="160" ht="30" customHeight="1" spans="1:20">
      <c r="A160" s="11">
        <f>SUBTOTAL(3,C$1:C159)</f>
        <v>159</v>
      </c>
      <c r="B160" s="15" t="s">
        <v>635</v>
      </c>
      <c r="C160" s="7" t="s">
        <v>636</v>
      </c>
      <c r="D160" s="16" t="s">
        <v>637</v>
      </c>
      <c r="E160" s="17" t="s">
        <v>638</v>
      </c>
      <c r="F160" s="38" t="s">
        <v>618</v>
      </c>
      <c r="G160" s="38"/>
      <c r="H160" s="38" t="s">
        <v>24</v>
      </c>
      <c r="I160" s="39">
        <f>VLOOKUP(Таблица2[[#This Row],[канал сбыта]],справочники!A:D,4,0)</f>
        <v>3</v>
      </c>
      <c r="J160" s="40">
        <f>VLOOKUP(Таблица2[[#This Row],[канал сбыта]],справочники!A:E,5,0)</f>
        <v>0.00347222222222222</v>
      </c>
      <c r="K160" s="41">
        <f>VLOOKUP(Таблица2[[#This Row],[канал сбыта]],справочники!A:E,2,0)</f>
        <v>0.333333333333333</v>
      </c>
      <c r="L160" s="41">
        <f>VLOOKUP(Таблица2[[#This Row],[канал сбыта]],справочники!A:E,3,0)</f>
        <v>0.416666666666667</v>
      </c>
      <c r="M160" s="41">
        <v>0.295138888888889</v>
      </c>
      <c r="N160" s="42"/>
      <c r="O160" s="43">
        <v>594</v>
      </c>
      <c r="P160" s="44">
        <f>IFERROR(Таблица2[[#This Row],[сумма отгрузки текущая]]/40,"")</f>
        <v>14.85</v>
      </c>
      <c r="Q160" s="44">
        <f>IFERROR(ROUNDUP(Таблица2[[#This Row],[кол-во ед. продукции]]/20,0),"")</f>
        <v>1</v>
      </c>
      <c r="R160" s="43">
        <f t="shared" si="7"/>
        <v>653.4</v>
      </c>
      <c r="S160" s="44">
        <f>IFERROR(Таблица2[[#This Row],[сумма отгрузки план]]/40,"")</f>
        <v>16.335</v>
      </c>
      <c r="T160" s="42">
        <f>IFERROR(ROUNDUP(Таблица2[[#This Row],[кол-во продукции план]]/20,0),"")</f>
        <v>1</v>
      </c>
    </row>
    <row r="161" ht="30" customHeight="1" spans="1:20">
      <c r="A161" s="11">
        <f>SUBTOTAL(3,C$1:C160)</f>
        <v>160</v>
      </c>
      <c r="B161" s="15" t="s">
        <v>639</v>
      </c>
      <c r="C161" s="7" t="s">
        <v>640</v>
      </c>
      <c r="D161" s="16" t="s">
        <v>641</v>
      </c>
      <c r="E161" s="17" t="s">
        <v>642</v>
      </c>
      <c r="F161" s="38" t="s">
        <v>618</v>
      </c>
      <c r="G161" s="38"/>
      <c r="H161" s="38" t="s">
        <v>24</v>
      </c>
      <c r="I161" s="39">
        <f>VLOOKUP(Таблица2[[#This Row],[канал сбыта]],справочники!A:D,4,0)</f>
        <v>3</v>
      </c>
      <c r="J161" s="40">
        <f>VLOOKUP(Таблица2[[#This Row],[канал сбыта]],справочники!A:E,5,0)</f>
        <v>0.00347222222222222</v>
      </c>
      <c r="K161" s="41">
        <f>VLOOKUP(Таблица2[[#This Row],[канал сбыта]],справочники!A:E,2,0)</f>
        <v>0.333333333333333</v>
      </c>
      <c r="L161" s="41">
        <f>VLOOKUP(Таблица2[[#This Row],[канал сбыта]],справочники!A:E,3,0)</f>
        <v>0.416666666666667</v>
      </c>
      <c r="M161" s="41">
        <v>0.302083333333333</v>
      </c>
      <c r="N161" s="42"/>
      <c r="O161" s="43">
        <v>1065</v>
      </c>
      <c r="P161" s="44">
        <f>IFERROR(Таблица2[[#This Row],[сумма отгрузки текущая]]/40,"")</f>
        <v>26.625</v>
      </c>
      <c r="Q161" s="44">
        <f>IFERROR(ROUNDUP(Таблица2[[#This Row],[кол-во ед. продукции]]/20,0),"")</f>
        <v>2</v>
      </c>
      <c r="R161" s="43">
        <f t="shared" si="7"/>
        <v>1171.5</v>
      </c>
      <c r="S161" s="44">
        <f>IFERROR(Таблица2[[#This Row],[сумма отгрузки план]]/40,"")</f>
        <v>29.2875</v>
      </c>
      <c r="T161" s="42">
        <f>IFERROR(ROUNDUP(Таблица2[[#This Row],[кол-во продукции план]]/20,0),"")</f>
        <v>2</v>
      </c>
    </row>
    <row r="162" ht="30" customHeight="1" spans="1:20">
      <c r="A162" s="11">
        <f>SUBTOTAL(3,C$1:C161)</f>
        <v>161</v>
      </c>
      <c r="B162" s="15" t="s">
        <v>643</v>
      </c>
      <c r="C162" s="7" t="s">
        <v>644</v>
      </c>
      <c r="D162" s="16" t="s">
        <v>645</v>
      </c>
      <c r="E162" s="17" t="s">
        <v>646</v>
      </c>
      <c r="F162" s="38" t="s">
        <v>618</v>
      </c>
      <c r="G162" s="38"/>
      <c r="H162" s="38" t="s">
        <v>55</v>
      </c>
      <c r="I162" s="39">
        <f>VLOOKUP(Таблица2[[#This Row],[канал сбыта]],справочники!A:D,4,0)</f>
        <v>3</v>
      </c>
      <c r="J162" s="40">
        <f>VLOOKUP(Таблица2[[#This Row],[канал сбыта]],справочники!A:E,5,0)</f>
        <v>0.00486111111111111</v>
      </c>
      <c r="K162" s="41">
        <f>VLOOKUP(Таблица2[[#This Row],[канал сбыта]],справочники!A:E,2,0)</f>
        <v>0.333333333333333</v>
      </c>
      <c r="L162" s="41">
        <f>VLOOKUP(Таблица2[[#This Row],[канал сбыта]],справочники!A:E,3,0)</f>
        <v>0.5</v>
      </c>
      <c r="M162" s="41">
        <v>0.3125</v>
      </c>
      <c r="N162" s="42"/>
      <c r="O162" s="43">
        <v>4938.77</v>
      </c>
      <c r="P162" s="44">
        <f>IFERROR(Таблица2[[#This Row],[сумма отгрузки текущая]]/40,"")</f>
        <v>123.46925</v>
      </c>
      <c r="Q162" s="44">
        <f>IFERROR(ROUNDUP(Таблица2[[#This Row],[кол-во ед. продукции]]/20,0),"")</f>
        <v>7</v>
      </c>
      <c r="R162" s="43">
        <f t="shared" si="7"/>
        <v>5432.647</v>
      </c>
      <c r="S162" s="44">
        <f>IFERROR(Таблица2[[#This Row],[сумма отгрузки план]]/40,"")</f>
        <v>135.816175</v>
      </c>
      <c r="T162" s="42">
        <f>IFERROR(ROUNDUP(Таблица2[[#This Row],[кол-во продукции план]]/20,0),"")</f>
        <v>7</v>
      </c>
    </row>
    <row r="163" ht="30" customHeight="1" spans="1:20">
      <c r="A163" s="11">
        <f>SUBTOTAL(3,C$1:C162)</f>
        <v>162</v>
      </c>
      <c r="B163" s="15">
        <v>1460</v>
      </c>
      <c r="C163" s="7" t="s">
        <v>647</v>
      </c>
      <c r="D163" s="16" t="s">
        <v>648</v>
      </c>
      <c r="E163" s="17" t="s">
        <v>649</v>
      </c>
      <c r="F163" s="38" t="s">
        <v>618</v>
      </c>
      <c r="G163" s="38"/>
      <c r="H163" s="38" t="s">
        <v>55</v>
      </c>
      <c r="I163" s="39">
        <f>VLOOKUP(Таблица2[[#This Row],[канал сбыта]],справочники!A:D,4,0)</f>
        <v>3</v>
      </c>
      <c r="J163" s="40">
        <f>VLOOKUP(Таблица2[[#This Row],[канал сбыта]],справочники!A:E,5,0)</f>
        <v>0.00486111111111111</v>
      </c>
      <c r="K163" s="41">
        <f>VLOOKUP(Таблица2[[#This Row],[канал сбыта]],справочники!A:E,2,0)</f>
        <v>0.333333333333333</v>
      </c>
      <c r="L163" s="41">
        <f>VLOOKUP(Таблица2[[#This Row],[канал сбыта]],справочники!A:E,3,0)</f>
        <v>0.5</v>
      </c>
      <c r="M163" s="41">
        <v>0.322916666666667</v>
      </c>
      <c r="N163" s="42"/>
      <c r="O163" s="43">
        <v>4062</v>
      </c>
      <c r="P163" s="44">
        <f>IFERROR(Таблица2[[#This Row],[сумма отгрузки текущая]]/40,"")</f>
        <v>101.55</v>
      </c>
      <c r="Q163" s="44">
        <f>IFERROR(ROUNDUP(Таблица2[[#This Row],[кол-во ед. продукции]]/20,0),"")</f>
        <v>6</v>
      </c>
      <c r="R163" s="43">
        <f t="shared" si="7"/>
        <v>4468.2</v>
      </c>
      <c r="S163" s="44">
        <f>IFERROR(Таблица2[[#This Row],[сумма отгрузки план]]/40,"")</f>
        <v>111.705</v>
      </c>
      <c r="T163" s="42">
        <f>IFERROR(ROUNDUP(Таблица2[[#This Row],[кол-во продукции план]]/20,0),"")</f>
        <v>6</v>
      </c>
    </row>
    <row r="164" ht="30" customHeight="1" spans="1:20">
      <c r="A164" s="11">
        <f>SUBTOTAL(3,C$1:C163)</f>
        <v>163</v>
      </c>
      <c r="B164" s="15" t="s">
        <v>650</v>
      </c>
      <c r="C164" s="7" t="s">
        <v>651</v>
      </c>
      <c r="D164" s="16" t="s">
        <v>652</v>
      </c>
      <c r="E164" s="17" t="s">
        <v>653</v>
      </c>
      <c r="F164" s="38" t="s">
        <v>618</v>
      </c>
      <c r="G164" s="38"/>
      <c r="H164" s="38" t="s">
        <v>91</v>
      </c>
      <c r="I164" s="39">
        <f>VLOOKUP(Таблица2[[#This Row],[канал сбыта]],справочники!A:D,4,0)</f>
        <v>3</v>
      </c>
      <c r="J164" s="40">
        <f>VLOOKUP(Таблица2[[#This Row],[канал сбыта]],справочники!A:E,5,0)</f>
        <v>0.00486111111111111</v>
      </c>
      <c r="K164" s="41">
        <f>VLOOKUP(Таблица2[[#This Row],[канал сбыта]],справочники!A:E,2,0)</f>
        <v>0.333333333333333</v>
      </c>
      <c r="L164" s="41">
        <f>VLOOKUP(Таблица2[[#This Row],[канал сбыта]],справочники!A:E,3,0)</f>
        <v>0.458333333333333</v>
      </c>
      <c r="M164" s="41">
        <v>0.333333333333333</v>
      </c>
      <c r="N164" s="42"/>
      <c r="O164" s="43">
        <v>4486</v>
      </c>
      <c r="P164" s="44">
        <f>IFERROR(Таблица2[[#This Row],[сумма отгрузки текущая]]/40,"")</f>
        <v>112.15</v>
      </c>
      <c r="Q164" s="44">
        <f>IFERROR(ROUNDUP(Таблица2[[#This Row],[кол-во ед. продукции]]/20,0),"")</f>
        <v>6</v>
      </c>
      <c r="R164" s="43">
        <f t="shared" si="7"/>
        <v>4934.6</v>
      </c>
      <c r="S164" s="44">
        <f>IFERROR(Таблица2[[#This Row],[сумма отгрузки план]]/40,"")</f>
        <v>123.365</v>
      </c>
      <c r="T164" s="42">
        <f>IFERROR(ROUNDUP(Таблица2[[#This Row],[кол-во продукции план]]/20,0),"")</f>
        <v>7</v>
      </c>
    </row>
    <row r="165" ht="30" customHeight="1" spans="1:20">
      <c r="A165" s="11">
        <f>SUBTOTAL(3,C$1:C164)</f>
        <v>164</v>
      </c>
      <c r="B165" s="15" t="s">
        <v>654</v>
      </c>
      <c r="C165" s="7" t="s">
        <v>655</v>
      </c>
      <c r="D165" s="16" t="s">
        <v>656</v>
      </c>
      <c r="E165" s="16" t="s">
        <v>657</v>
      </c>
      <c r="F165" s="38" t="s">
        <v>618</v>
      </c>
      <c r="G165" s="38"/>
      <c r="H165" s="38" t="s">
        <v>55</v>
      </c>
      <c r="I165" s="39">
        <f>VLOOKUP(Таблица2[[#This Row],[канал сбыта]],справочники!A:D,4,0)</f>
        <v>3</v>
      </c>
      <c r="J165" s="40">
        <f>VLOOKUP(Таблица2[[#This Row],[канал сбыта]],справочники!A:E,5,0)</f>
        <v>0.00486111111111111</v>
      </c>
      <c r="K165" s="41">
        <f>VLOOKUP(Таблица2[[#This Row],[канал сбыта]],справочники!A:E,2,0)</f>
        <v>0.333333333333333</v>
      </c>
      <c r="L165" s="41">
        <f>VLOOKUP(Таблица2[[#This Row],[канал сбыта]],справочники!A:E,3,0)</f>
        <v>0.5</v>
      </c>
      <c r="M165" s="41">
        <v>0.34375</v>
      </c>
      <c r="N165" s="42"/>
      <c r="O165" s="43">
        <v>2812</v>
      </c>
      <c r="P165" s="44">
        <f>IFERROR(Таблица2[[#This Row],[сумма отгрузки текущая]]/40,"")</f>
        <v>70.3</v>
      </c>
      <c r="Q165" s="44">
        <f>IFERROR(ROUNDUP(Таблица2[[#This Row],[кол-во ед. продукции]]/20,0),"")</f>
        <v>4</v>
      </c>
      <c r="R165" s="43">
        <f t="shared" si="7"/>
        <v>3093.2</v>
      </c>
      <c r="S165" s="44">
        <f>IFERROR(Таблица2[[#This Row],[сумма отгрузки план]]/40,"")</f>
        <v>77.33</v>
      </c>
      <c r="T165" s="42">
        <f>IFERROR(ROUNDUP(Таблица2[[#This Row],[кол-во продукции план]]/20,0),"")</f>
        <v>4</v>
      </c>
    </row>
    <row r="166" ht="30" customHeight="1" spans="1:20">
      <c r="A166" s="11">
        <f>SUBTOTAL(3,C$1:C165)</f>
        <v>165</v>
      </c>
      <c r="B166" s="15" t="s">
        <v>658</v>
      </c>
      <c r="C166" s="7" t="s">
        <v>659</v>
      </c>
      <c r="D166" s="16" t="s">
        <v>660</v>
      </c>
      <c r="E166" s="17" t="s">
        <v>661</v>
      </c>
      <c r="F166" s="38" t="s">
        <v>618</v>
      </c>
      <c r="G166" s="38"/>
      <c r="H166" s="38" t="s">
        <v>91</v>
      </c>
      <c r="I166" s="39">
        <f>VLOOKUP(Таблица2[[#This Row],[канал сбыта]],справочники!A:D,4,0)</f>
        <v>3</v>
      </c>
      <c r="J166" s="40">
        <f>VLOOKUP(Таблица2[[#This Row],[канал сбыта]],справочники!A:E,5,0)</f>
        <v>0.00486111111111111</v>
      </c>
      <c r="K166" s="41">
        <f>VLOOKUP(Таблица2[[#This Row],[канал сбыта]],справочники!A:E,2,0)</f>
        <v>0.333333333333333</v>
      </c>
      <c r="L166" s="41">
        <f>VLOOKUP(Таблица2[[#This Row],[канал сбыта]],справочники!A:E,3,0)</f>
        <v>0.458333333333333</v>
      </c>
      <c r="M166" s="41">
        <v>0.354166666666667</v>
      </c>
      <c r="N166" s="42"/>
      <c r="O166" s="43">
        <v>4540</v>
      </c>
      <c r="P166" s="44">
        <f>IFERROR(Таблица2[[#This Row],[сумма отгрузки текущая]]/40,"")</f>
        <v>113.5</v>
      </c>
      <c r="Q166" s="44">
        <f>IFERROR(ROUNDUP(Таблица2[[#This Row],[кол-во ед. продукции]]/20,0),"")</f>
        <v>6</v>
      </c>
      <c r="R166" s="43">
        <f t="shared" si="7"/>
        <v>4994</v>
      </c>
      <c r="S166" s="44">
        <f>IFERROR(Таблица2[[#This Row],[сумма отгрузки план]]/40,"")</f>
        <v>124.85</v>
      </c>
      <c r="T166" s="42">
        <f>IFERROR(ROUNDUP(Таблица2[[#This Row],[кол-во продукции план]]/20,0),"")</f>
        <v>7</v>
      </c>
    </row>
    <row r="167" ht="30" customHeight="1" spans="1:20">
      <c r="A167" s="11">
        <f>SUBTOTAL(3,C$1:C166)</f>
        <v>166</v>
      </c>
      <c r="B167" s="15" t="s">
        <v>662</v>
      </c>
      <c r="C167" s="7" t="s">
        <v>663</v>
      </c>
      <c r="D167" s="16" t="s">
        <v>664</v>
      </c>
      <c r="E167" s="17" t="s">
        <v>665</v>
      </c>
      <c r="F167" s="38" t="s">
        <v>618</v>
      </c>
      <c r="G167" s="38"/>
      <c r="H167" s="38" t="s">
        <v>63</v>
      </c>
      <c r="I167" s="39">
        <f>VLOOKUP(Таблица2[[#This Row],[канал сбыта]],справочники!A:D,4,0)</f>
        <v>3</v>
      </c>
      <c r="J167" s="40">
        <f>VLOOKUP(Таблица2[[#This Row],[канал сбыта]],справочники!A:E,5,0)</f>
        <v>0.00694444444444444</v>
      </c>
      <c r="K167" s="41">
        <f>VLOOKUP(Таблица2[[#This Row],[канал сбыта]],справочники!A:E,2,0)</f>
        <v>0.375</v>
      </c>
      <c r="L167" s="41">
        <f>VLOOKUP(Таблица2[[#This Row],[канал сбыта]],справочники!A:E,3,0)</f>
        <v>0.5</v>
      </c>
      <c r="M167" s="41">
        <v>0.364583333333333</v>
      </c>
      <c r="N167" s="42"/>
      <c r="O167" s="43">
        <v>8554</v>
      </c>
      <c r="P167" s="44">
        <f>IFERROR(Таблица2[[#This Row],[сумма отгрузки текущая]]/40,"")</f>
        <v>213.85</v>
      </c>
      <c r="Q167" s="44">
        <f>IFERROR(ROUNDUP(Таблица2[[#This Row],[кол-во ед. продукции]]/20,0),"")</f>
        <v>11</v>
      </c>
      <c r="R167" s="43">
        <f t="shared" ref="R167:R174" si="8">O167*IF(ABS((N167-M167)*1440)&gt;180,IF((N167-M167)*1440&gt;0,0.85,1.1),IF(ABS((N167-M167)*1440)&gt;120,IF((N167-M167)*1440&gt;0,0.93,1.07),IF(ABS((N167-M167)*1440)&gt;60,IF((N167-M167)*1440&gt;0,0.97,1.03),1)))</f>
        <v>9409.4</v>
      </c>
      <c r="S167" s="44">
        <f>IFERROR(Таблица2[[#This Row],[сумма отгрузки план]]/40,"")</f>
        <v>235.235</v>
      </c>
      <c r="T167" s="42">
        <f>IFERROR(ROUNDUP(Таблица2[[#This Row],[кол-во продукции план]]/20,0),"")</f>
        <v>12</v>
      </c>
    </row>
    <row r="168" ht="30" customHeight="1" spans="1:20">
      <c r="A168" s="11">
        <f>SUBTOTAL(3,C$1:C167)</f>
        <v>167</v>
      </c>
      <c r="B168" s="15" t="s">
        <v>666</v>
      </c>
      <c r="C168" s="7" t="s">
        <v>667</v>
      </c>
      <c r="D168" s="16" t="s">
        <v>668</v>
      </c>
      <c r="E168" s="17" t="s">
        <v>669</v>
      </c>
      <c r="F168" s="38" t="s">
        <v>618</v>
      </c>
      <c r="G168" s="38"/>
      <c r="H168" s="38" t="s">
        <v>55</v>
      </c>
      <c r="I168" s="39">
        <f>VLOOKUP(Таблица2[[#This Row],[канал сбыта]],справочники!A:D,4,0)</f>
        <v>3</v>
      </c>
      <c r="J168" s="40">
        <f>VLOOKUP(Таблица2[[#This Row],[канал сбыта]],справочники!A:E,5,0)</f>
        <v>0.00486111111111111</v>
      </c>
      <c r="K168" s="41">
        <f>VLOOKUP(Таблица2[[#This Row],[канал сбыта]],справочники!A:E,2,0)</f>
        <v>0.333333333333333</v>
      </c>
      <c r="L168" s="41">
        <f>VLOOKUP(Таблица2[[#This Row],[канал сбыта]],справочники!A:E,3,0)</f>
        <v>0.5</v>
      </c>
      <c r="M168" s="41">
        <v>0.375</v>
      </c>
      <c r="N168" s="42"/>
      <c r="O168" s="43">
        <v>5287</v>
      </c>
      <c r="P168" s="44">
        <f>IFERROR(Таблица2[[#This Row],[сумма отгрузки текущая]]/40,"")</f>
        <v>132.175</v>
      </c>
      <c r="Q168" s="44">
        <f>IFERROR(ROUNDUP(Таблица2[[#This Row],[кол-во ед. продукции]]/20,0),"")</f>
        <v>7</v>
      </c>
      <c r="R168" s="43">
        <f t="shared" si="8"/>
        <v>5815.7</v>
      </c>
      <c r="S168" s="44">
        <f>IFERROR(Таблица2[[#This Row],[сумма отгрузки план]]/40,"")</f>
        <v>145.3925</v>
      </c>
      <c r="T168" s="42">
        <f>IFERROR(ROUNDUP(Таблица2[[#This Row],[кол-во продукции план]]/20,0),"")</f>
        <v>8</v>
      </c>
    </row>
    <row r="169" ht="30" customHeight="1" spans="1:20">
      <c r="A169" s="11">
        <f>SUBTOTAL(3,C$1:C168)</f>
        <v>168</v>
      </c>
      <c r="B169" s="15" t="s">
        <v>670</v>
      </c>
      <c r="C169" s="7" t="s">
        <v>671</v>
      </c>
      <c r="D169" s="16" t="s">
        <v>672</v>
      </c>
      <c r="E169" s="17" t="s">
        <v>673</v>
      </c>
      <c r="F169" s="38" t="s">
        <v>618</v>
      </c>
      <c r="G169" s="38"/>
      <c r="H169" s="38" t="s">
        <v>674</v>
      </c>
      <c r="I169" s="39">
        <f>VLOOKUP(Таблица2[[#This Row],[канал сбыта]],справочники!A:D,4,0)</f>
        <v>3</v>
      </c>
      <c r="J169" s="40">
        <f>VLOOKUP(Таблица2[[#This Row],[канал сбыта]],справочники!A:E,5,0)</f>
        <v>0.0104166666666667</v>
      </c>
      <c r="K169" s="41">
        <f>VLOOKUP(Таблица2[[#This Row],[канал сбыта]],справочники!A:E,2,0)</f>
        <v>0.333333333333333</v>
      </c>
      <c r="L169" s="41">
        <f>VLOOKUP(Таблица2[[#This Row],[канал сбыта]],справочники!A:E,3,0)</f>
        <v>0.5</v>
      </c>
      <c r="M169" s="41">
        <v>0.385416666666667</v>
      </c>
      <c r="N169" s="42"/>
      <c r="O169" s="43">
        <v>4302</v>
      </c>
      <c r="P169" s="44">
        <f>IFERROR(Таблица2[[#This Row],[сумма отгрузки текущая]]/40,"")</f>
        <v>107.55</v>
      </c>
      <c r="Q169" s="44">
        <f>IFERROR(ROUNDUP(Таблица2[[#This Row],[кол-во ед. продукции]]/20,0),"")</f>
        <v>6</v>
      </c>
      <c r="R169" s="43">
        <f t="shared" si="8"/>
        <v>4732.2</v>
      </c>
      <c r="S169" s="44">
        <f>IFERROR(Таблица2[[#This Row],[сумма отгрузки план]]/40,"")</f>
        <v>118.305</v>
      </c>
      <c r="T169" s="42">
        <f>IFERROR(ROUNDUP(Таблица2[[#This Row],[кол-во продукции план]]/20,0),"")</f>
        <v>6</v>
      </c>
    </row>
    <row r="170" ht="30" customHeight="1" spans="1:20">
      <c r="A170" s="11">
        <f>SUBTOTAL(3,C$1:C169)</f>
        <v>169</v>
      </c>
      <c r="B170" s="15" t="s">
        <v>675</v>
      </c>
      <c r="C170" s="7" t="s">
        <v>676</v>
      </c>
      <c r="D170" s="16" t="s">
        <v>677</v>
      </c>
      <c r="E170" s="17" t="s">
        <v>678</v>
      </c>
      <c r="F170" s="38" t="s">
        <v>618</v>
      </c>
      <c r="G170" s="38"/>
      <c r="H170" s="38" t="s">
        <v>24</v>
      </c>
      <c r="I170" s="39">
        <f>VLOOKUP(Таблица2[[#This Row],[канал сбыта]],справочники!A:D,4,0)</f>
        <v>3</v>
      </c>
      <c r="J170" s="40">
        <f>VLOOKUP(Таблица2[[#This Row],[канал сбыта]],справочники!A:E,5,0)</f>
        <v>0.00347222222222222</v>
      </c>
      <c r="K170" s="41">
        <f>VLOOKUP(Таблица2[[#This Row],[канал сбыта]],справочники!A:E,2,0)</f>
        <v>0.333333333333333</v>
      </c>
      <c r="L170" s="41">
        <f>VLOOKUP(Таблица2[[#This Row],[канал сбыта]],справочники!A:E,3,0)</f>
        <v>0.416666666666667</v>
      </c>
      <c r="M170" s="41">
        <v>0.395833333333333</v>
      </c>
      <c r="N170" s="42"/>
      <c r="O170" s="43">
        <v>425</v>
      </c>
      <c r="P170" s="44">
        <f>IFERROR(Таблица2[[#This Row],[сумма отгрузки текущая]]/40,"")</f>
        <v>10.625</v>
      </c>
      <c r="Q170" s="44">
        <f>IFERROR(ROUNDUP(Таблица2[[#This Row],[кол-во ед. продукции]]/20,0),"")</f>
        <v>1</v>
      </c>
      <c r="R170" s="43">
        <f t="shared" si="8"/>
        <v>467.5</v>
      </c>
      <c r="S170" s="44">
        <f>IFERROR(Таблица2[[#This Row],[сумма отгрузки план]]/40,"")</f>
        <v>11.6875</v>
      </c>
      <c r="T170" s="42">
        <f>IFERROR(ROUNDUP(Таблица2[[#This Row],[кол-во продукции план]]/20,0),"")</f>
        <v>1</v>
      </c>
    </row>
    <row r="171" ht="30" customHeight="1" spans="1:20">
      <c r="A171" s="11">
        <f>SUBTOTAL(3,C$1:C170)</f>
        <v>170</v>
      </c>
      <c r="B171" s="15" t="s">
        <v>679</v>
      </c>
      <c r="C171" s="7" t="s">
        <v>680</v>
      </c>
      <c r="D171" s="16" t="s">
        <v>681</v>
      </c>
      <c r="E171" s="17" t="s">
        <v>682</v>
      </c>
      <c r="F171" s="38" t="s">
        <v>618</v>
      </c>
      <c r="G171" s="38"/>
      <c r="H171" s="38" t="s">
        <v>91</v>
      </c>
      <c r="I171" s="39">
        <f>VLOOKUP(Таблица2[[#This Row],[канал сбыта]],справочники!A:D,4,0)</f>
        <v>3</v>
      </c>
      <c r="J171" s="40">
        <f>VLOOKUP(Таблица2[[#This Row],[канал сбыта]],справочники!A:E,5,0)</f>
        <v>0.00486111111111111</v>
      </c>
      <c r="K171" s="41">
        <f>VLOOKUP(Таблица2[[#This Row],[канал сбыта]],справочники!A:E,2,0)</f>
        <v>0.333333333333333</v>
      </c>
      <c r="L171" s="41">
        <f>VLOOKUP(Таблица2[[#This Row],[канал сбыта]],справочники!A:E,3,0)</f>
        <v>0.458333333333333</v>
      </c>
      <c r="M171" s="41">
        <v>0.40625</v>
      </c>
      <c r="N171" s="42"/>
      <c r="O171" s="43">
        <v>4267</v>
      </c>
      <c r="P171" s="44">
        <f>IFERROR(Таблица2[[#This Row],[сумма отгрузки текущая]]/40,"")</f>
        <v>106.675</v>
      </c>
      <c r="Q171" s="44">
        <f>IFERROR(ROUNDUP(Таблица2[[#This Row],[кол-во ед. продукции]]/20,0),"")</f>
        <v>6</v>
      </c>
      <c r="R171" s="43">
        <f t="shared" si="8"/>
        <v>4693.7</v>
      </c>
      <c r="S171" s="44">
        <f>IFERROR(Таблица2[[#This Row],[сумма отгрузки план]]/40,"")</f>
        <v>117.3425</v>
      </c>
      <c r="T171" s="42">
        <f>IFERROR(ROUNDUP(Таблица2[[#This Row],[кол-во продукции план]]/20,0),"")</f>
        <v>6</v>
      </c>
    </row>
    <row r="172" ht="30" customHeight="1" spans="1:20">
      <c r="A172" s="11">
        <f>SUBTOTAL(3,C$1:C171)</f>
        <v>171</v>
      </c>
      <c r="B172" s="15" t="s">
        <v>683</v>
      </c>
      <c r="C172" s="7" t="s">
        <v>684</v>
      </c>
      <c r="D172" s="16" t="s">
        <v>685</v>
      </c>
      <c r="E172" s="17" t="s">
        <v>686</v>
      </c>
      <c r="F172" s="38" t="s">
        <v>618</v>
      </c>
      <c r="G172" s="38"/>
      <c r="H172" s="38" t="s">
        <v>24</v>
      </c>
      <c r="I172" s="39">
        <f>VLOOKUP(Таблица2[[#This Row],[канал сбыта]],справочники!A:D,4,0)</f>
        <v>3</v>
      </c>
      <c r="J172" s="40">
        <f>VLOOKUP(Таблица2[[#This Row],[канал сбыта]],справочники!A:E,5,0)</f>
        <v>0.00347222222222222</v>
      </c>
      <c r="K172" s="41">
        <f>VLOOKUP(Таблица2[[#This Row],[канал сбыта]],справочники!A:E,2,0)</f>
        <v>0.333333333333333</v>
      </c>
      <c r="L172" s="41">
        <f>VLOOKUP(Таблица2[[#This Row],[канал сбыта]],справочники!A:E,3,0)</f>
        <v>0.416666666666667</v>
      </c>
      <c r="M172" s="41">
        <v>0.416666666666667</v>
      </c>
      <c r="N172" s="42"/>
      <c r="O172" s="43">
        <v>3824</v>
      </c>
      <c r="P172" s="44">
        <f>IFERROR(Таблица2[[#This Row],[сумма отгрузки текущая]]/40,"")</f>
        <v>95.6</v>
      </c>
      <c r="Q172" s="44">
        <f>IFERROR(ROUNDUP(Таблица2[[#This Row],[кол-во ед. продукции]]/20,0),"")</f>
        <v>5</v>
      </c>
      <c r="R172" s="43">
        <f t="shared" si="8"/>
        <v>4206.4</v>
      </c>
      <c r="S172" s="44">
        <f>IFERROR(Таблица2[[#This Row],[сумма отгрузки план]]/40,"")</f>
        <v>105.16</v>
      </c>
      <c r="T172" s="42">
        <f>IFERROR(ROUNDUP(Таблица2[[#This Row],[кол-во продукции план]]/20,0),"")</f>
        <v>6</v>
      </c>
    </row>
    <row r="173" ht="30" customHeight="1" spans="1:20">
      <c r="A173" s="11">
        <f>SUBTOTAL(3,C$1:C172)</f>
        <v>172</v>
      </c>
      <c r="B173" s="15" t="s">
        <v>687</v>
      </c>
      <c r="C173" s="7" t="s">
        <v>688</v>
      </c>
      <c r="D173" s="16" t="s">
        <v>689</v>
      </c>
      <c r="E173" s="17" t="s">
        <v>690</v>
      </c>
      <c r="F173" s="38" t="s">
        <v>618</v>
      </c>
      <c r="G173" s="38"/>
      <c r="H173" s="38" t="s">
        <v>108</v>
      </c>
      <c r="I173" s="39">
        <f>VLOOKUP(Таблица2[[#This Row],[канал сбыта]],справочники!A:D,4,0)</f>
        <v>3</v>
      </c>
      <c r="J173" s="40">
        <f>VLOOKUP(Таблица2[[#This Row],[канал сбыта]],справочники!A:E,5,0)</f>
        <v>0.00486111111111111</v>
      </c>
      <c r="K173" s="41">
        <f>VLOOKUP(Таблица2[[#This Row],[канал сбыта]],справочники!A:E,2,0)</f>
        <v>0.375</v>
      </c>
      <c r="L173" s="41">
        <f>VLOOKUP(Таблица2[[#This Row],[канал сбыта]],справочники!A:E,3,0)</f>
        <v>0.520833333333333</v>
      </c>
      <c r="M173" s="41">
        <v>0.427083333333333</v>
      </c>
      <c r="N173" s="42"/>
      <c r="O173" s="43">
        <v>760</v>
      </c>
      <c r="P173" s="44">
        <f>IFERROR(Таблица2[[#This Row],[сумма отгрузки текущая]]/40,"")</f>
        <v>19</v>
      </c>
      <c r="Q173" s="44">
        <f>IFERROR(ROUNDUP(Таблица2[[#This Row],[кол-во ед. продукции]]/20,0),"")</f>
        <v>1</v>
      </c>
      <c r="R173" s="43">
        <f t="shared" si="8"/>
        <v>836</v>
      </c>
      <c r="S173" s="44">
        <f>IFERROR(Таблица2[[#This Row],[сумма отгрузки план]]/40,"")</f>
        <v>20.9</v>
      </c>
      <c r="T173" s="42">
        <f>IFERROR(ROUNDUP(Таблица2[[#This Row],[кол-во продукции план]]/20,0),"")</f>
        <v>2</v>
      </c>
    </row>
    <row r="174" ht="30" customHeight="1" spans="1:20">
      <c r="A174" s="11">
        <f>SUBTOTAL(3,C$1:C173)</f>
        <v>173</v>
      </c>
      <c r="B174" s="15" t="s">
        <v>691</v>
      </c>
      <c r="C174" s="19" t="s">
        <v>692</v>
      </c>
      <c r="D174" s="20" t="s">
        <v>693</v>
      </c>
      <c r="E174" s="17" t="s">
        <v>694</v>
      </c>
      <c r="F174" s="38" t="s">
        <v>618</v>
      </c>
      <c r="G174" s="38"/>
      <c r="H174" s="38" t="s">
        <v>55</v>
      </c>
      <c r="I174" s="39">
        <f>VLOOKUP(Таблица2[[#This Row],[канал сбыта]],справочники!A:D,4,0)</f>
        <v>3</v>
      </c>
      <c r="J174" s="40">
        <f>VLOOKUP(Таблица2[[#This Row],[канал сбыта]],справочники!A:E,5,0)</f>
        <v>0.00486111111111111</v>
      </c>
      <c r="K174" s="41">
        <f>VLOOKUP(Таблица2[[#This Row],[канал сбыта]],справочники!A:E,2,0)</f>
        <v>0.333333333333333</v>
      </c>
      <c r="L174" s="41">
        <f>VLOOKUP(Таблица2[[#This Row],[канал сбыта]],справочники!A:E,3,0)</f>
        <v>0.5</v>
      </c>
      <c r="M174" s="41">
        <v>0.4375</v>
      </c>
      <c r="N174" s="42"/>
      <c r="O174" s="43">
        <v>2437</v>
      </c>
      <c r="P174" s="44">
        <f>IFERROR(Таблица2[[#This Row],[сумма отгрузки текущая]]/40,"")</f>
        <v>60.925</v>
      </c>
      <c r="Q174" s="44">
        <f>IFERROR(ROUNDUP(Таблица2[[#This Row],[кол-во ед. продукции]]/20,0),"")</f>
        <v>4</v>
      </c>
      <c r="R174" s="43">
        <f t="shared" si="8"/>
        <v>2680.7</v>
      </c>
      <c r="S174" s="44">
        <f>IFERROR(Таблица2[[#This Row],[сумма отгрузки план]]/40,"")</f>
        <v>67.0175</v>
      </c>
      <c r="T174" s="42">
        <f>IFERROR(ROUNDUP(Таблица2[[#This Row],[кол-во продукции план]]/20,0),"")</f>
        <v>4</v>
      </c>
    </row>
    <row r="175" s="10" customFormat="1" ht="14.4" spans="1:20">
      <c r="A175" s="10" t="s">
        <v>695</v>
      </c>
      <c r="H175" s="10">
        <f>SUBTOTAL(103,Таблица2[канал сбыта])</f>
        <v>173</v>
      </c>
      <c r="I175" s="15"/>
      <c r="J175" s="23">
        <f>SUBTOTAL(101,Таблица2[временной промежуток на разгрузку])</f>
        <v>0.00453998073217725</v>
      </c>
      <c r="K175" s="36"/>
      <c r="L175" s="36"/>
      <c r="M175" s="36"/>
      <c r="N175" s="36"/>
      <c r="O175" s="36"/>
      <c r="P175" s="36"/>
      <c r="Q175" s="36"/>
      <c r="R175" s="26">
        <f>SUBTOTAL(109,Таблица2[сумма отгрузки план])</f>
        <v>566444.23</v>
      </c>
      <c r="S175" s="36"/>
      <c r="T175" s="36">
        <f>SUBTOTAL(109,Таблица2[кол-во ящиков план])</f>
        <v>789</v>
      </c>
    </row>
  </sheetData>
  <dataValidations count="1">
    <dataValidation type="list" allowBlank="1" showInputMessage="1" showErrorMessage="1" sqref="H2:H174">
      <formula1>справочники!$A$1:$A$13</formula1>
    </dataValidation>
  </dataValidations>
  <pageMargins left="0.7" right="0.7" top="0.75" bottom="0.75" header="0.3" footer="0.3"/>
  <pageSetup paperSize="9" orientation="portrait"/>
  <headerFooter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9"/>
  <sheetViews>
    <sheetView tabSelected="1" workbookViewId="0">
      <selection activeCell="E5" sqref="E5"/>
    </sheetView>
  </sheetViews>
  <sheetFormatPr defaultColWidth="9" defaultRowHeight="14.4" outlineLevelCol="7"/>
  <cols>
    <col min="1" max="1" width="19.1111111111111" customWidth="1"/>
    <col min="2" max="2" width="12.5555555555556" customWidth="1"/>
    <col min="3" max="3" width="11.3333333333333" customWidth="1"/>
    <col min="4" max="4" width="12.6666666666667" customWidth="1"/>
    <col min="5" max="5" width="13.6666666666667" customWidth="1"/>
    <col min="7" max="7" width="11.5555555555556" customWidth="1"/>
  </cols>
  <sheetData>
    <row r="1" ht="57.6" spans="1:8">
      <c r="A1" t="s">
        <v>696</v>
      </c>
      <c r="B1" s="1" t="s">
        <v>10</v>
      </c>
      <c r="C1" s="1" t="s">
        <v>11</v>
      </c>
      <c r="D1" s="1" t="s">
        <v>8</v>
      </c>
      <c r="E1" s="1" t="s">
        <v>697</v>
      </c>
      <c r="G1" s="1" t="s">
        <v>698</v>
      </c>
      <c r="H1" s="1" t="s">
        <v>699</v>
      </c>
    </row>
    <row r="2" spans="1:8">
      <c r="A2" t="s">
        <v>55</v>
      </c>
      <c r="B2" s="2">
        <v>0.333333333333333</v>
      </c>
      <c r="C2" s="2">
        <v>0.5</v>
      </c>
      <c r="D2" s="3">
        <v>3</v>
      </c>
      <c r="E2" s="4">
        <v>0.00486111111111111</v>
      </c>
      <c r="G2" s="5">
        <v>40</v>
      </c>
      <c r="H2" s="6">
        <v>20</v>
      </c>
    </row>
    <row r="3" spans="1:5">
      <c r="A3" t="s">
        <v>130</v>
      </c>
      <c r="B3" s="2">
        <v>0.291666666666667</v>
      </c>
      <c r="C3" s="2">
        <v>0.333333333333333</v>
      </c>
      <c r="D3" s="3">
        <v>2</v>
      </c>
      <c r="E3" s="4">
        <v>0.0138888888888889</v>
      </c>
    </row>
    <row r="4" spans="1:5">
      <c r="A4" t="s">
        <v>91</v>
      </c>
      <c r="B4" s="2">
        <v>0.333333333333333</v>
      </c>
      <c r="C4" s="2">
        <v>0.458333333333333</v>
      </c>
      <c r="D4" s="3">
        <v>3</v>
      </c>
      <c r="E4" s="4">
        <v>0.00486111111111111</v>
      </c>
    </row>
    <row r="5" spans="1:5">
      <c r="A5" t="s">
        <v>674</v>
      </c>
      <c r="B5" s="2">
        <v>0.333333333333333</v>
      </c>
      <c r="C5" s="2">
        <v>0.5</v>
      </c>
      <c r="D5" s="3">
        <v>3</v>
      </c>
      <c r="E5" s="4">
        <v>0.0104166666666667</v>
      </c>
    </row>
    <row r="6" spans="1:5">
      <c r="A6" t="s">
        <v>63</v>
      </c>
      <c r="B6" s="2">
        <v>0.375</v>
      </c>
      <c r="C6" s="2">
        <v>0.5</v>
      </c>
      <c r="D6" s="3">
        <v>3</v>
      </c>
      <c r="E6" s="4">
        <v>0.00694444444444444</v>
      </c>
    </row>
    <row r="7" spans="1:5">
      <c r="A7" t="s">
        <v>24</v>
      </c>
      <c r="B7" s="2">
        <v>0.333333333333333</v>
      </c>
      <c r="C7" s="2">
        <v>0.416666666666667</v>
      </c>
      <c r="D7" s="3">
        <v>3</v>
      </c>
      <c r="E7" s="4">
        <v>0.00347222222222222</v>
      </c>
    </row>
    <row r="8" spans="1:5">
      <c r="A8" t="s">
        <v>35</v>
      </c>
      <c r="B8" s="2">
        <v>0.208333333333333</v>
      </c>
      <c r="C8" s="2">
        <v>0.333333333333333</v>
      </c>
      <c r="D8" s="3">
        <v>1</v>
      </c>
      <c r="E8" s="4">
        <v>0.00486111111111111</v>
      </c>
    </row>
    <row r="9" spans="1:5">
      <c r="A9" t="s">
        <v>51</v>
      </c>
      <c r="B9" s="2">
        <v>0.333333333333333</v>
      </c>
      <c r="C9" s="2">
        <v>0.5</v>
      </c>
      <c r="D9" s="3">
        <v>3</v>
      </c>
      <c r="E9" s="4">
        <v>0.00486111111111111</v>
      </c>
    </row>
    <row r="10" spans="1:5">
      <c r="A10" t="s">
        <v>700</v>
      </c>
      <c r="B10" s="2">
        <v>0.333333333333333</v>
      </c>
      <c r="C10" s="2">
        <v>0.5</v>
      </c>
      <c r="D10" s="3">
        <v>3</v>
      </c>
      <c r="E10" s="4">
        <v>0.00486111111111111</v>
      </c>
    </row>
    <row r="11" spans="1:5">
      <c r="A11" t="s">
        <v>591</v>
      </c>
      <c r="B11" s="2">
        <v>0.333333333333333</v>
      </c>
      <c r="C11" s="2">
        <v>0.479166666666667</v>
      </c>
      <c r="D11" s="3">
        <v>3</v>
      </c>
      <c r="E11" s="4">
        <v>0.00486111111111111</v>
      </c>
    </row>
    <row r="12" spans="1:5">
      <c r="A12" t="s">
        <v>108</v>
      </c>
      <c r="B12" s="2">
        <v>0.375</v>
      </c>
      <c r="C12" s="2">
        <v>0.520833333333333</v>
      </c>
      <c r="D12" s="3">
        <v>3</v>
      </c>
      <c r="E12" s="4">
        <v>0.00486111111111111</v>
      </c>
    </row>
    <row r="13" spans="1:5">
      <c r="A13" t="s">
        <v>501</v>
      </c>
      <c r="B13" s="2">
        <v>0.333333333333333</v>
      </c>
      <c r="C13" s="2">
        <v>0.375</v>
      </c>
      <c r="D13" s="3">
        <v>2</v>
      </c>
      <c r="E13" s="4">
        <v>0.0138888888888889</v>
      </c>
    </row>
    <row r="17" spans="1:2">
      <c r="A17" s="7" t="s">
        <v>701</v>
      </c>
      <c r="B17" s="8" t="s">
        <v>702</v>
      </c>
    </row>
    <row r="18" spans="1:2">
      <c r="A18" s="7" t="s">
        <v>703</v>
      </c>
      <c r="B18" s="8" t="s">
        <v>704</v>
      </c>
    </row>
    <row r="19" spans="1:2">
      <c r="A19" s="7" t="s">
        <v>705</v>
      </c>
      <c r="B19" s="8" t="s">
        <v>706</v>
      </c>
    </row>
  </sheetData>
  <pageMargins left="0.7" right="0.7" top="0.75" bottom="0.75" header="0.3" footer="0.3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рабочее окно</vt:lpstr>
      <vt:lpstr>справочники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Захаров</dc:creator>
  <cp:lastModifiedBy>Oksana</cp:lastModifiedBy>
  <dcterms:created xsi:type="dcterms:W3CDTF">2015-06-05T18:19:00Z</dcterms:created>
  <dcterms:modified xsi:type="dcterms:W3CDTF">2026-04-10T01:33:25Z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6CAA8337783F438EA228CF191B47964C_12</vt:lpwstr>
  </property>
  <property fmtid="{D5CDD505-2E9C-101B-9397-08002B2CF9AE}" pid="3" name="KSOProductBuildVer">
    <vt:lpwstr>1049-12.2.0.23196</vt:lpwstr>
  </property>
</Properties>
</file>